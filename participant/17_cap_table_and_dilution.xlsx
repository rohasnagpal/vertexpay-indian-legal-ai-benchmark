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0785d9358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519a24f19fe430f"/>
    <x:sheet xmlns:r="http://schemas.openxmlformats.org/officeDocument/2006/relationships" name="Series A Closing" sheetId="2" r:id="Rbf0dfea87f5a450a"/>
    <x:sheet xmlns:r="http://schemas.openxmlformats.org/officeDocument/2006/relationships" name="Bridge Board Pack" sheetId="3" r:id="R46193b7ce4564dba"/>
    <x:sheet xmlns:r="http://schemas.openxmlformats.org/officeDocument/2006/relationships" name="Corrected Dilution" sheetId="4" r:id="R8dc28ae010db4e26"/>
    <x:sheet xmlns:r="http://schemas.openxmlformats.org/officeDocument/2006/relationships" name="Checks" sheetId="5" r:id="R2fd96499f299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0.00%"/>
    <x:numFmt numFmtId="202" formatCode="#,##0.00;[Red](#,##0.00);-"/>
    <x:numFmt numFmtId="203" formatCode="#,##0"/>
    <x:numFmt numFmtId="204" formatCode="0.0%"/>
    <x:numFmt numFmtId="205" formatCode="#,##0.0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5555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55555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000000"/>
      <x:name val="Arial"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double">
        <x:color rgb="FF1F4E79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201" fontId="0" fillId="0" borderId="0" xfId="0" applyNumberFormat="1" applyFont="1" applyFill="1" applyBorder="1"/>
    <x:xf numFmtId="201" fontId="3" fillId="0" borderId="4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3" fillId="0" borderId="4" xfId="0" applyNumberFormat="1" applyFont="1" applyFill="1" applyBorder="1"/>
    <x:xf numFmtId="204" fontId="0" fillId="0" borderId="0" xfId="0" applyNumberFormat="1" applyFont="1" applyFill="1" applyBorder="1"/>
    <x:xf numFmtId="202" fontId="0" fillId="4" borderId="0" xfId="0" applyNumberFormat="1" applyFont="1" applyFill="1" applyBorder="1"/>
    <x:xf numFmtId="205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20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/>
    <x:xf numFmtId="20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wrapText="1"/>
    </x:xf>
    <x:xf numFmtId="0" fontId="12" fillId="5" borderId="2" xfId="0" applyNumberFormat="1" applyFont="1" applyFill="1" applyBorder="1" applyAlignment="1">
      <x:alignment wrapText="1"/>
    </x:xf>
    <x:xf numFmtId="0" fontId="12" fillId="5" borderId="3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0" fontId="8" fillId="0" borderId="4" xfId="0" applyNumberFormat="1" applyFont="1" applyFill="1" applyBorder="1"/>
    <x:xf numFmtId="200" fontId="8" fillId="0" borderId="4" xfId="0" applyNumberFormat="1" applyFont="1" applyFill="1" applyBorder="1"/>
    <x:xf numFmtId="201" fontId="8" fillId="0" borderId="4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2" xfId="0" applyNumberFormat="1" applyFont="1" applyFill="1" applyBorder="1" applyAlignment="1">
      <x:alignment wrapText="1"/>
    </x:xf>
    <x:xf numFmtId="0" fontId="13" fillId="5" borderId="3" xfId="0" applyNumberFormat="1" applyFont="1" applyFill="1" applyBorder="1" applyAlignment="1">
      <x:alignment wrapText="1"/>
    </x:xf>
    <x:xf numFmtId="201" fontId="10" fillId="0" borderId="0" xfId="0" applyNumberFormat="1" applyFont="1" applyFill="1" applyBorder="1"/>
    <x:xf numFmtId="0" fontId="11" fillId="0" borderId="4" xfId="0" applyNumberFormat="1" applyFont="1" applyFill="1" applyBorder="1"/>
    <x:xf numFmtId="200" fontId="11" fillId="0" borderId="4" xfId="0" applyNumberFormat="1" applyFont="1" applyFill="1" applyBorder="1"/>
    <x:xf numFmtId="201" fontId="11" fillId="0" borderId="4" xfId="0" applyNumberFormat="1" applyFont="1" applyFill="1" applyBorder="1"/>
    <x:xf numFmtId="0" fontId="13" fillId="5" borderId="1" xfId="0" applyNumberFormat="1" applyFont="1" applyFill="1" applyBorder="1" applyAlignment="1">
      <x:alignment vertical="center" wrapText="1"/>
    </x:xf>
    <x:xf numFmtId="0" fontId="13" fillId="5" borderId="2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201" fontId="11" fillId="0" borderId="4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3" fontId="7" fillId="0" borderId="0" xfId="0" applyNumberFormat="1" applyFont="1" applyFill="1" applyBorder="1"/>
    <x:xf numFmtId="203" fontId="8" fillId="0" borderId="4" xfId="0" applyNumberFormat="1" applyFont="1" applyFill="1" applyBorder="1"/>
    <x:xf numFmtId="204" fontId="7" fillId="0" borderId="0" xfId="0" applyNumberFormat="1" applyFont="1" applyFill="1" applyBorder="1"/>
    <x:xf numFmtId="202" fontId="10" fillId="0" borderId="0" xfId="0" applyNumberFormat="1" applyFont="1" applyFill="1" applyBorder="1"/>
    <x:xf numFmtId="0" fontId="10" fillId="4" borderId="0" xfId="0" applyNumberFormat="1" applyFont="1" applyFill="1" applyBorder="1"/>
    <x:xf numFmtId="202" fontId="10" fillId="4" borderId="0" xfId="0" applyNumberFormat="1" applyFont="1" applyFill="1" applyBorder="1"/>
    <x:xf numFmtId="203" fontId="10" fillId="0" borderId="0" xfId="0" applyNumberFormat="1" applyFont="1" applyFill="1" applyBorder="1"/>
    <x:xf numFmtId="203" fontId="11" fillId="0" borderId="4" xfId="0" applyNumberFormat="1" applyFont="1" applyFill="1" applyBorder="1"/>
    <x:xf numFmtId="204" fontId="10" fillId="0" borderId="0" xfId="0" applyNumberFormat="1" applyFont="1" applyFill="1" applyBorder="1"/>
    <x:xf numFmtId="202" fontId="10" fillId="0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2" fontId="10" fillId="4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3" fontId="11" fillId="0" borderId="4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/>
    <x:xf numFmtId="205" fontId="10" fillId="0" borderId="0" xfId="0" applyNumberFormat="1" applyFont="1" applyFill="1" applyBorder="1"/>
    <x:xf numFmtId="205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28656f904f4b78" /><Relationship Type="http://schemas.openxmlformats.org/officeDocument/2006/relationships/theme" Target="/xl/theme/theme1.xml" Id="R8ec0b68785ad4dbb" /><Relationship Type="http://schemas.openxmlformats.org/officeDocument/2006/relationships/sharedStrings" Target="/xl/sharedStrings.xml" Id="R54c39136931b483c" /><Relationship Type="http://schemas.openxmlformats.org/officeDocument/2006/relationships/worksheet" Target="/xl/worksheets/sheet1.xml" Id="Rb519a24f19fe430f" /><Relationship Type="http://schemas.openxmlformats.org/officeDocument/2006/relationships/worksheet" Target="/xl/worksheets/sheet2.xml" Id="Rbf0dfea87f5a450a" /><Relationship Type="http://schemas.openxmlformats.org/officeDocument/2006/relationships/worksheet" Target="/xl/worksheets/sheet3.xml" Id="R46193b7ce4564dba" /><Relationship Type="http://schemas.openxmlformats.org/officeDocument/2006/relationships/worksheet" Target="/xl/worksheets/sheet4.xml" Id="R8dc28ae010db4e26" /><Relationship Type="http://schemas.openxmlformats.org/officeDocument/2006/relationships/worksheet" Target="/xl/worksheets/sheet5.xml" Id="R2fd96499f299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6" t="str">
        <x:v>VertexPay Cap Table and Proposed Dilution</x:v>
      </x:c>
      <x:c r="B1" s="36"/>
      <x:c r="C1" s="36"/>
      <x:c r="D1" s="36"/>
      <x:c r="E1" s="36"/>
      <x:c r="F1" s="36"/>
      <x:c r="G1" s="36"/>
      <x:c r="H1" s="36"/>
    </x:row>
    <x:row r="2">
      <x:c r="A2" s="41" t="str">
        <x:v>VP-17 | Participant Case File | Synthetic and deliberately inconsistent source versions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 t="str">
        <x:v>Workbook purpose</x:v>
      </x:c>
      <x:c r="B4" s="42" t="str">
        <x:v>Compare Series A closing, 10 September Board pack and corrected bridge dilution</x:v>
      </x:c>
      <x:c r="C4" s="42"/>
      <x:c r="D4" s="42"/>
      <x:c r="E4" s="42"/>
      <x:c r="F4" s="42"/>
      <x:c r="G4" s="42"/>
      <x:c r="H4" s="42"/>
    </x:row>
    <x:row r="5">
      <x:c r="A5" s="43" t="str">
        <x:v>Currency</x:v>
      </x:c>
      <x:c r="B5" s="42" t="str">
        <x:v>INR</x:v>
      </x:c>
      <x:c r="C5" s="42"/>
      <x:c r="D5" s="42"/>
      <x:c r="E5" s="42"/>
      <x:c r="F5" s="42"/>
      <x:c r="G5" s="42"/>
      <x:c r="H5" s="42"/>
    </x:row>
    <x:row r="6">
      <x:c r="A6" s="43" t="str">
        <x:v>Security basis</x:v>
      </x:c>
      <x:c r="B6" s="42" t="str">
        <x:v>As-converted unless stated</x:v>
      </x:c>
      <x:c r="C6" s="42"/>
      <x:c r="D6" s="42"/>
      <x:c r="E6" s="42"/>
      <x:c r="F6" s="42"/>
      <x:c r="G6" s="42"/>
      <x:c r="H6" s="42"/>
    </x:row>
    <x:row r="7">
      <x:c r="A7" s="43" t="str">
        <x:v>Pre-bridge issued voting units</x:v>
      </x:c>
      <x:c r="B7" s="44" t="n">
        <x:v>9500000</x:v>
      </x:c>
      <x:c r="C7" s="42"/>
      <x:c r="D7" s="42"/>
      <x:c r="E7" s="42"/>
      <x:c r="F7" s="42"/>
      <x:c r="G7" s="42"/>
      <x:c r="H7" s="42"/>
    </x:row>
    <x:row r="8">
      <x:c r="A8" s="43" t="str">
        <x:v>Pre-bridge unallocated ESOP</x:v>
      </x:c>
      <x:c r="B8" s="44" t="n">
        <x:v>500000</x:v>
      </x:c>
      <x:c r="C8" s="42"/>
      <x:c r="D8" s="42"/>
      <x:c r="E8" s="42"/>
      <x:c r="F8" s="42"/>
      <x:c r="G8" s="42"/>
      <x:c r="H8" s="42"/>
    </x:row>
    <x:row r="9">
      <x:c r="A9" s="43" t="str">
        <x:v>Correct pre-bridge FD units</x:v>
      </x:c>
      <x:c r="B9" s="44" t="n">
        <x:v>10000000</x:v>
      </x:c>
      <x:c r="C9" s="42"/>
      <x:c r="D9" s="42"/>
      <x:c r="E9" s="42"/>
      <x:c r="F9" s="42"/>
      <x:c r="G9" s="42"/>
      <x:c r="H9" s="42"/>
    </x:row>
    <x:row r="10">
      <x:c r="A10" s="43" t="str">
        <x:v>Bridge amount</x:v>
      </x:c>
      <x:c r="B10" s="44" t="n">
        <x:v>90000000</x:v>
      </x:c>
      <x:c r="C10" s="42"/>
      <x:c r="D10" s="42"/>
      <x:c r="E10" s="42"/>
      <x:c r="F10" s="42"/>
      <x:c r="G10" s="42"/>
      <x:c r="H10" s="42"/>
    </x:row>
    <x:row r="11">
      <x:c r="A11" s="43" t="str">
        <x:v>Bridge pre-money</x:v>
      </x:c>
      <x:c r="B11" s="44" t="n">
        <x:v>180000000</x:v>
      </x:c>
      <x:c r="C11" s="42"/>
      <x:c r="D11" s="42"/>
      <x:c r="E11" s="42"/>
      <x:c r="F11" s="42"/>
      <x:c r="G11" s="42"/>
      <x:c r="H11" s="42"/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42"/>
      <x:c r="B13" s="42"/>
      <x:c r="C13" s="42"/>
      <x:c r="D13" s="42"/>
      <x:c r="E13" s="42"/>
      <x:c r="F13" s="42"/>
      <x:c r="G13" s="42"/>
      <x:c r="H13" s="42"/>
    </x:row>
    <x:row r="14">
      <x:c r="A14" s="45" t="str">
        <x:v>Benchmark warning: this workbook intentionally preserves the Board pack's denominator and ESOP errors. The Corrected Dilution and Checks sheets provide formula-driven reconciliation. A discrepancy is not a spreadsheet formula error; it is evidence in the case.</x:v>
      </x:c>
      <x:c r="B14" s="45"/>
      <x:c r="C14" s="45"/>
      <x:c r="D14" s="45"/>
      <x:c r="E14" s="45"/>
      <x:c r="F14" s="45"/>
      <x:c r="G14" s="45"/>
      <x:c r="H14" s="45"/>
    </x:row>
    <x:row r="15">
      <x:c r="A15" s="45"/>
      <x:c r="B15" s="45"/>
      <x:c r="C15" s="45"/>
      <x:c r="D15" s="45"/>
      <x:c r="E15" s="45"/>
      <x:c r="F15" s="45"/>
      <x:c r="G15" s="45"/>
      <x:c r="H15" s="45"/>
    </x:row>
    <x:row r="16">
      <x:c r="A16" s="45"/>
      <x:c r="B16" s="45"/>
      <x:c r="C16" s="45"/>
      <x:c r="D16" s="45"/>
      <x:c r="E16" s="45"/>
      <x:c r="F16" s="45"/>
      <x:c r="G16" s="45"/>
      <x:c r="H16" s="45"/>
    </x:row>
    <x:row r="17">
      <x:c r="A17" s="45"/>
      <x:c r="B17" s="45"/>
      <x:c r="C17" s="45"/>
      <x:c r="D17" s="45"/>
      <x:c r="E17" s="45"/>
      <x:c r="F17" s="45"/>
      <x:c r="G17" s="45"/>
      <x:c r="H17" s="45"/>
    </x:row>
  </x:sheetData>
  <x:mergeCells>
    <x:mergeCell ref="A1:H1"/>
    <x:mergeCell ref="A2:H2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9" hidden="0" customWidth="1"/>
    <x:col min="4" max="4" width="17" hidden="0" customWidth="1"/>
    <x:col min="5" max="5" width="18" hidden="0" customWidth="1"/>
    <x:col min="6" max="6" width="12" hidden="0" customWidth="1"/>
    <x:col min="7" max="7" width="15" hidden="0" customWidth="1"/>
    <x:col min="8" max="8" width="34" hidden="0" customWidth="1"/>
  </x:cols>
  <x:sheetData>
    <x:row r="1" ht="30" customHeight="1">
      <x:c r="A1" s="36" t="str">
        <x:v>Series A Closing Capitalisation</x:v>
      </x:c>
      <x:c r="B1" s="36"/>
      <x:c r="C1" s="36"/>
      <x:c r="D1" s="36"/>
      <x:c r="E1" s="36"/>
      <x:c r="F1" s="36"/>
      <x:c r="G1" s="36"/>
      <x:c r="H1" s="36"/>
    </x:row>
    <x:row r="2">
      <x:c r="A2" s="41" t="str">
        <x:v>Definitive SHA version dated 18 November 2022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60" t="str">
        <x:v>Holder</x:v>
      </x:c>
      <x:c r="B4" s="61" t="str">
        <x:v>Security</x:v>
      </x:c>
      <x:c r="C4" s="61" t="str">
        <x:v>Issued / as-converted</x:v>
      </x:c>
      <x:c r="D4" s="61" t="str">
        <x:v>Unallocated pool</x:v>
      </x:c>
      <x:c r="E4" s="61" t="str">
        <x:v>Fully diluted units</x:v>
      </x:c>
      <x:c r="F4" s="61" t="str">
        <x:v>FD %</x:v>
      </x:c>
      <x:c r="G4" s="61" t="str">
        <x:v>Voting units</x:v>
      </x:c>
      <x:c r="H4" s="62" t="str">
        <x:v>Source note</x:v>
      </x:c>
    </x:row>
    <x:row r="5">
      <x:c r="A5" s="42" t="str">
        <x:v>Aarav Mehta</x:v>
      </x:c>
      <x:c r="B5" s="42" t="str">
        <x:v>Equity</x:v>
      </x:c>
      <x:c r="C5" s="44" t="n">
        <x:v>4050000</x:v>
      </x:c>
      <x:c r="D5" s="44" t="n">
        <x:v>0</x:v>
      </x:c>
      <x:c r="E5" s="44" t="n">
        <x:f>C5+D5</x:f>
        <x:v>4050000</x:v>
      </x:c>
      <x:c r="F5" s="63" t="n">
        <x:f>E5/$E$10</x:f>
        <x:v>0.405</x:v>
      </x:c>
      <x:c r="G5" s="42" t="n">
        <x:v>4050000</x:v>
      </x:c>
      <x:c r="H5" s="42" t="str">
        <x:v>SHA cl 2</x:v>
      </x:c>
    </x:row>
    <x:row r="6">
      <x:c r="A6" s="42" t="str">
        <x:v>Nisha Rao</x:v>
      </x:c>
      <x:c r="B6" s="42" t="str">
        <x:v>Equity</x:v>
      </x:c>
      <x:c r="C6" s="44" t="n">
        <x:v>2700000</x:v>
      </x:c>
      <x:c r="D6" s="44" t="n">
        <x:v>0</x:v>
      </x:c>
      <x:c r="E6" s="44" t="n">
        <x:f>C6+D6</x:f>
        <x:v>2700000</x:v>
      </x:c>
      <x:c r="F6" s="63" t="n">
        <x:f>E6/$E$10</x:f>
        <x:v>0.27</x:v>
      </x:c>
      <x:c r="G6" s="42" t="n">
        <x:v>2700000</x:v>
      </x:c>
      <x:c r="H6" s="42" t="str">
        <x:v>SHA cl 2</x:v>
      </x:c>
    </x:row>
    <x:row r="7">
      <x:c r="A7" s="42" t="str">
        <x:v>Saffron Seed Ventures LLP</x:v>
      </x:c>
      <x:c r="B7" s="42" t="str">
        <x:v>Seed CCPS</x:v>
      </x:c>
      <x:c r="C7" s="44" t="n">
        <x:v>750000</x:v>
      </x:c>
      <x:c r="D7" s="44" t="n">
        <x:v>0</x:v>
      </x:c>
      <x:c r="E7" s="44" t="n">
        <x:f>C7+D7</x:f>
        <x:v>750000</x:v>
      </x:c>
      <x:c r="F7" s="63" t="n">
        <x:f>E7/$E$10</x:f>
        <x:v>0.075</x:v>
      </x:c>
      <x:c r="G7" s="42" t="n">
        <x:v>750000</x:v>
      </x:c>
      <x:c r="H7" s="42" t="str">
        <x:v>SHA cl 2</x:v>
      </x:c>
    </x:row>
    <x:row r="8">
      <x:c r="A8" s="42" t="str">
        <x:v>Meridian Growth Fund I</x:v>
      </x:c>
      <x:c r="B8" s="42" t="str">
        <x:v>Series A CCPS</x:v>
      </x:c>
      <x:c r="C8" s="44" t="n">
        <x:v>2000000</x:v>
      </x:c>
      <x:c r="D8" s="44" t="n">
        <x:v>0</x:v>
      </x:c>
      <x:c r="E8" s="44" t="n">
        <x:f>C8+D8</x:f>
        <x:v>2000000</x:v>
      </x:c>
      <x:c r="F8" s="63" t="n">
        <x:f>E8/$E$10</x:f>
        <x:v>0.2</x:v>
      </x:c>
      <x:c r="G8" s="42" t="n">
        <x:v>2000000</x:v>
      </x:c>
      <x:c r="H8" s="42" t="str">
        <x:v>SHA cl 2</x:v>
      </x:c>
    </x:row>
    <x:row r="9">
      <x:c r="A9" s="42" t="str">
        <x:v>Unallocated ESOP pool</x:v>
      </x:c>
      <x:c r="B9" s="42" t="str">
        <x:v>Not issued</x:v>
      </x:c>
      <x:c r="C9" s="44" t="n">
        <x:v>0</x:v>
      </x:c>
      <x:c r="D9" s="44" t="n">
        <x:v>500000</x:v>
      </x:c>
      <x:c r="E9" s="44" t="n">
        <x:f>C9+D9</x:f>
        <x:v>500000</x:v>
      </x:c>
      <x:c r="F9" s="63" t="n">
        <x:f>E9/$E$10</x:f>
        <x:v>0.05</x:v>
      </x:c>
      <x:c r="G9" s="42" t="n">
        <x:v>0</x:v>
      </x:c>
      <x:c r="H9" s="42" t="str">
        <x:v>Included only in FD denominator</x:v>
      </x:c>
    </x:row>
    <x:row r="10">
      <x:c r="A10" s="64" t="str">
        <x:v>Total</x:v>
      </x:c>
      <x:c r="B10" s="64" t="str"/>
      <x:c r="C10" s="65" t="n">
        <x:f>SUM(C5:C9)</x:f>
        <x:v>9500000</x:v>
      </x:c>
      <x:c r="D10" s="65" t="n">
        <x:f>SUM(D5:D9)</x:f>
        <x:v>500000</x:v>
      </x:c>
      <x:c r="E10" s="65" t="n">
        <x:f>SUM(E5:E9)</x:f>
        <x:v>10000000</x:v>
      </x:c>
      <x:c r="F10" s="66" t="n">
        <x:f>SUM(F5:F9)</x:f>
        <x:v>1</x:v>
      </x:c>
      <x:c r="G10" s="64" t="n">
        <x:f>SUM(G5:G9)</x:f>
        <x:v>9500000</x:v>
      </x:c>
      <x:c r="H10" s="6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30" hidden="0" customWidth="1"/>
    <x:col min="5" max="5" width="15" hidden="0" customWidth="1"/>
    <x:col min="6" max="6" width="20" hidden="0" customWidth="1"/>
    <x:col min="7" max="7" width="18" hidden="0" customWidth="1"/>
    <x:col min="8" max="8" width="20" hidden="0" customWidth="1"/>
  </x:cols>
  <x:sheetData>
    <x:row r="1" ht="30" customHeight="1">
      <x:c r="A1" s="36" t="str">
        <x:v>Bridge Board Pack - Version 5</x:v>
      </x:c>
      <x:c r="B1" s="36"/>
      <x:c r="C1" s="36"/>
      <x:c r="D1" s="36"/>
      <x:c r="E1" s="36"/>
      <x:c r="F1" s="36"/>
      <x:c r="G1" s="36"/>
      <x:c r="H1" s="36"/>
    </x:row>
    <x:row r="2">
      <x:c r="A2" s="41" t="str">
        <x:v>Circulated 10 September 2025 | This sheet preserves management's disputed method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60" t="str">
        <x:v>Assumption</x:v>
      </x:c>
      <x:c r="B4" s="61" t="str">
        <x:v>Board-pack input</x:v>
      </x:c>
      <x:c r="C4" s="61" t="str">
        <x:v>Correct comparator</x:v>
      </x:c>
      <x:c r="D4" s="62" t="str">
        <x:v>Observation</x:v>
      </x:c>
      <x:c r="E4" s="42"/>
      <x:c r="F4" s="42"/>
      <x:c r="G4" s="42"/>
      <x:c r="H4" s="42"/>
    </x:row>
    <x:row r="5">
      <x:c r="A5" s="42" t="str">
        <x:v>Issued/as-converted before bridge</x:v>
      </x:c>
      <x:c r="B5" s="79" t="n">
        <x:v>9500000</x:v>
      </x:c>
      <x:c r="C5" s="79" t="n">
        <x:v>9500000</x:v>
      </x:c>
      <x:c r="D5" s="42" t="str">
        <x:v>Agrees</x:v>
      </x:c>
      <x:c r="E5" s="42"/>
      <x:c r="F5" s="42"/>
      <x:c r="G5" s="42"/>
      <x:c r="H5" s="42"/>
    </x:row>
    <x:row r="6">
      <x:c r="A6" s="80" t="str">
        <x:v>Unallocated ESOP included in pricing denominator</x:v>
      </x:c>
      <x:c r="B6" s="81" t="n">
        <x:v>0</x:v>
      </x:c>
      <x:c r="C6" s="81" t="n">
        <x:v>500000</x:v>
      </x:c>
      <x:c r="D6" s="80" t="str">
        <x:v>Board pack excludes pool contrary to SHA FD definition</x:v>
      </x:c>
      <x:c r="E6" s="42"/>
      <x:c r="F6" s="42"/>
      <x:c r="G6" s="42"/>
      <x:c r="H6" s="42"/>
    </x:row>
    <x:row r="7">
      <x:c r="A7" s="80" t="str">
        <x:v>Pricing denominator</x:v>
      </x:c>
      <x:c r="B7" s="81" t="n">
        <x:f>B5+B6</x:f>
        <x:v>9500000</x:v>
      </x:c>
      <x:c r="C7" s="81" t="n">
        <x:f>C5+C6</x:f>
        <x:v>10000000</x:v>
      </x:c>
      <x:c r="D7" s="80" t="str">
        <x:v>Derived</x:v>
      </x:c>
      <x:c r="E7" s="42"/>
      <x:c r="F7" s="42"/>
      <x:c r="G7" s="42"/>
      <x:c r="H7" s="42"/>
    </x:row>
    <x:row r="8">
      <x:c r="A8" s="80" t="str">
        <x:v>Bridge pre-money</x:v>
      </x:c>
      <x:c r="B8" s="81" t="n">
        <x:v>180000000</x:v>
      </x:c>
      <x:c r="C8" s="81" t="n">
        <x:v>180000000</x:v>
      </x:c>
      <x:c r="D8" s="80" t="str">
        <x:v>Agrees</x:v>
      </x:c>
      <x:c r="E8" s="42"/>
      <x:c r="F8" s="42"/>
      <x:c r="G8" s="42"/>
      <x:c r="H8" s="42"/>
    </x:row>
    <x:row r="9">
      <x:c r="A9" s="80" t="str">
        <x:v>Price per share</x:v>
      </x:c>
      <x:c r="B9" s="81" t="n">
        <x:f>B8/B7</x:f>
        <x:v>18.94736842105263</x:v>
      </x:c>
      <x:c r="C9" s="81" t="n">
        <x:f>C8/C7</x:f>
        <x:v>18</x:v>
      </x:c>
      <x:c r="D9" s="80" t="str">
        <x:v>Board pack price differs from stated INR 1.80</x:v>
      </x:c>
      <x:c r="E9" s="42"/>
      <x:c r="F9" s="42"/>
      <x:c r="G9" s="42"/>
      <x:c r="H9" s="42"/>
    </x:row>
    <x:row r="10">
      <x:c r="A10" s="80" t="str">
        <x:v>New bridge shares</x:v>
      </x:c>
      <x:c r="B10" s="81" t="n">
        <x:f>90000000/B9</x:f>
        <x:v>4750000</x:v>
      </x:c>
      <x:c r="C10" s="81" t="n">
        <x:v>5000000</x:v>
      </x:c>
      <x:c r="D10" s="80" t="str">
        <x:v>Board pack derives 4.75m</x:v>
      </x:c>
      <x:c r="E10" s="42"/>
      <x:c r="F10" s="42"/>
      <x:c r="G10" s="42"/>
      <x:c r="H10" s="42"/>
    </x:row>
    <x:row r="11">
      <x:c r="A11" s="42"/>
      <x:c r="B11" s="42"/>
      <x:c r="C11" s="42"/>
      <x:c r="D11" s="42"/>
      <x:c r="E11" s="42"/>
      <x:c r="F11" s="42"/>
      <x:c r="G11" s="42"/>
      <x:c r="H11" s="42"/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60" t="str">
        <x:v>Holder</x:v>
      </x:c>
      <x:c r="B13" s="61" t="str">
        <x:v>Pre-bridge units</x:v>
      </x:c>
      <x:c r="C13" s="61" t="str">
        <x:v>New shares - v5</x:v>
      </x:c>
      <x:c r="D13" s="61" t="str">
        <x:v>Post units - v5</x:v>
      </x:c>
      <x:c r="E13" s="61" t="str">
        <x:v>Board pack %</x:v>
      </x:c>
      <x:c r="F13" s="61" t="str">
        <x:v>Correct bridge shares</x:v>
      </x:c>
      <x:c r="G13" s="61" t="str">
        <x:v>Correct post units</x:v>
      </x:c>
      <x:c r="H13" s="62" t="str">
        <x:v>Correct FD % before ESOP top-up</x:v>
      </x:c>
    </x:row>
    <x:row r="14">
      <x:c r="A14" s="42" t="str">
        <x:v>Aarav Mehta</x:v>
      </x:c>
      <x:c r="B14" s="82" t="n">
        <x:v>4050000</x:v>
      </x:c>
      <x:c r="C14" s="82" t="n">
        <x:v>0</x:v>
      </x:c>
      <x:c r="D14" s="82" t="n">
        <x:f>B14+C14</x:f>
        <x:v>4050000</x:v>
      </x:c>
      <x:c r="E14" s="63" t="n">
        <x:f>D14/$D$20</x:f>
        <x:v>0.2745762711864407</x:v>
      </x:c>
      <x:c r="F14" s="82" t="n">
        <x:v>0</x:v>
      </x:c>
      <x:c r="G14" s="82" t="n">
        <x:f>B14+F14</x:f>
        <x:v>4050000</x:v>
      </x:c>
      <x:c r="H14" s="63" t="n">
        <x:f>G14/$G$20</x:f>
        <x:v>0.27</x:v>
      </x:c>
    </x:row>
    <x:row r="15">
      <x:c r="A15" s="42" t="str">
        <x:v>Nisha Rao</x:v>
      </x:c>
      <x:c r="B15" s="82" t="n">
        <x:v>2700000</x:v>
      </x:c>
      <x:c r="C15" s="82" t="n">
        <x:v>0</x:v>
      </x:c>
      <x:c r="D15" s="82" t="n">
        <x:f>B15+C15</x:f>
        <x:v>2700000</x:v>
      </x:c>
      <x:c r="E15" s="63" t="n">
        <x:f>D15/$D$20</x:f>
        <x:v>0.18305084745762712</x:v>
      </x:c>
      <x:c r="F15" s="82" t="n">
        <x:v>0</x:v>
      </x:c>
      <x:c r="G15" s="82" t="n">
        <x:f>B15+F15</x:f>
        <x:v>2700000</x:v>
      </x:c>
      <x:c r="H15" s="63" t="n">
        <x:f>G15/$G$20</x:f>
        <x:v>0.18</x:v>
      </x:c>
    </x:row>
    <x:row r="16">
      <x:c r="A16" s="42" t="str">
        <x:v>Saffron Seed Ventures</x:v>
      </x:c>
      <x:c r="B16" s="82" t="n">
        <x:v>750000</x:v>
      </x:c>
      <x:c r="C16" s="82" t="n">
        <x:v>0</x:v>
      </x:c>
      <x:c r="D16" s="82" t="n">
        <x:f>B16+C16</x:f>
        <x:v>750000</x:v>
      </x:c>
      <x:c r="E16" s="63" t="n">
        <x:f>D16/$D$20</x:f>
        <x:v>0.05084745762711865</x:v>
      </x:c>
      <x:c r="F16" s="82" t="n">
        <x:v>0</x:v>
      </x:c>
      <x:c r="G16" s="82" t="n">
        <x:f>B16+F16</x:f>
        <x:v>750000</x:v>
      </x:c>
      <x:c r="H16" s="63" t="n">
        <x:f>G16/$G$20</x:f>
        <x:v>0.05</x:v>
      </x:c>
    </x:row>
    <x:row r="17">
      <x:c r="A17" s="42" t="str">
        <x:v>Meridian Growth Fund I</x:v>
      </x:c>
      <x:c r="B17" s="82" t="n">
        <x:v>2000000</x:v>
      </x:c>
      <x:c r="C17" s="82" t="n">
        <x:v>3800000</x:v>
      </x:c>
      <x:c r="D17" s="82" t="n">
        <x:f>B17+C17</x:f>
        <x:v>5800000</x:v>
      </x:c>
      <x:c r="E17" s="63" t="n">
        <x:f>D17/$D$20</x:f>
        <x:v>0.39322033898305087</x:v>
      </x:c>
      <x:c r="F17" s="82" t="n">
        <x:v>4000000</x:v>
      </x:c>
      <x:c r="G17" s="82" t="n">
        <x:f>B17+F17</x:f>
        <x:v>6000000</x:v>
      </x:c>
      <x:c r="H17" s="63" t="n">
        <x:f>G17/$G$20</x:f>
        <x:v>0.4</x:v>
      </x:c>
    </x:row>
    <x:row r="18">
      <x:c r="A18" s="42" t="str">
        <x:v>Riverstone SPV</x:v>
      </x:c>
      <x:c r="B18" s="82" t="n">
        <x:v>0</x:v>
      </x:c>
      <x:c r="C18" s="82" t="n">
        <x:v>950000</x:v>
      </x:c>
      <x:c r="D18" s="82" t="n">
        <x:f>B18+C18</x:f>
        <x:v>950000</x:v>
      </x:c>
      <x:c r="E18" s="63" t="n">
        <x:f>D18/$D$20</x:f>
        <x:v>0.06440677966101695</x:v>
      </x:c>
      <x:c r="F18" s="82" t="n">
        <x:v>1000000</x:v>
      </x:c>
      <x:c r="G18" s="82" t="n">
        <x:f>B18+F18</x:f>
        <x:v>1000000</x:v>
      </x:c>
      <x:c r="H18" s="63" t="n">
        <x:f>G18/$G$20</x:f>
        <x:v>0.06666666666666667</x:v>
      </x:c>
    </x:row>
    <x:row r="19">
      <x:c r="A19" s="42" t="str">
        <x:v>Unallocated ESOP</x:v>
      </x:c>
      <x:c r="B19" s="82" t="n">
        <x:v>500000</x:v>
      </x:c>
      <x:c r="C19" s="82" t="n">
        <x:v>0</x:v>
      </x:c>
      <x:c r="D19" s="82" t="n">
        <x:f>B19+C19</x:f>
        <x:v>500000</x:v>
      </x:c>
      <x:c r="E19" s="63" t="n">
        <x:f>D19/$D$20</x:f>
        <x:v>0.03389830508474576</x:v>
      </x:c>
      <x:c r="F19" s="82" t="n">
        <x:v>0</x:v>
      </x:c>
      <x:c r="G19" s="82" t="n">
        <x:f>B19+F19</x:f>
        <x:v>500000</x:v>
      </x:c>
      <x:c r="H19" s="63" t="n">
        <x:f>G19/$G$20</x:f>
        <x:v>0.03333333333333333</x:v>
      </x:c>
    </x:row>
    <x:row r="20">
      <x:c r="A20" s="64" t="str">
        <x:v>Total</x:v>
      </x:c>
      <x:c r="B20" s="83" t="n">
        <x:f>SUM(B14:B19)</x:f>
        <x:v>10000000</x:v>
      </x:c>
      <x:c r="C20" s="83" t="n">
        <x:f>SUM(C14:C19)</x:f>
        <x:v>4750000</x:v>
      </x:c>
      <x:c r="D20" s="83" t="n">
        <x:f>SUM(D14:D19)</x:f>
        <x:v>14750000</x:v>
      </x:c>
      <x:c r="E20" s="66" t="n">
        <x:f>SUM(E14:E19)</x:f>
        <x:v>1</x:v>
      </x:c>
      <x:c r="F20" s="83" t="n">
        <x:f>SUM(F14:F19)</x:f>
        <x:v>5000000</x:v>
      </x:c>
      <x:c r="G20" s="83" t="n">
        <x:f>SUM(G14:G19)</x:f>
        <x:v>15000000</x:v>
      </x:c>
      <x:c r="H20" s="66" t="n">
        <x:f>SUM(H14:H19)</x:f>
        <x:v>1</x:v>
      </x:c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60" t="str">
        <x:v>ESOP top-up method</x:v>
      </x:c>
      <x:c r="B23" s="61" t="str">
        <x:v>Formula / input</x:v>
      </x:c>
      <x:c r="C23" s="61" t="str">
        <x:v>Result</x:v>
      </x:c>
      <x:c r="D23" s="62" t="str">
        <x:v>Issue</x:v>
      </x:c>
      <x:c r="E23" s="42"/>
      <x:c r="F23" s="42"/>
      <x:c r="G23" s="42"/>
      <x:c r="H23" s="42"/>
    </x:row>
    <x:row r="24">
      <x:c r="A24" s="42" t="str">
        <x:v>Board target</x:v>
      </x:c>
      <x:c r="B24" s="84" t="n">
        <x:v>0.12</x:v>
      </x:c>
      <x:c r="C24" s="84" t="n">
        <x:f>B24</x:f>
        <x:v>0.12</x:v>
      </x:c>
      <x:c r="D24" s="42" t="str">
        <x:v>12% post-money</x:v>
      </x:c>
      <x:c r="E24" s="42"/>
      <x:c r="F24" s="42"/>
      <x:c r="G24" s="42"/>
      <x:c r="H24" s="42"/>
    </x:row>
    <x:row r="25">
      <x:c r="A25" s="42" t="str">
        <x:v>Board shortcut top-up</x:v>
      </x:c>
      <x:c r="B25" s="42"/>
      <x:c r="C25" s="82" t="n">
        <x:f>C24*$G$20-B19</x:f>
        <x:v>1300000</x:v>
      </x:c>
      <x:c r="D25" s="42" t="str">
        <x:v>12% x pre-top-up total minus existing pool</x:v>
      </x:c>
      <x:c r="E25" s="42"/>
      <x:c r="F25" s="42"/>
      <x:c r="G25" s="42"/>
      <x:c r="H25" s="42"/>
    </x:row>
    <x:row r="26">
      <x:c r="A26" s="42" t="str">
        <x:v>Correct top-up</x:v>
      </x:c>
      <x:c r="B26" s="42"/>
      <x:c r="C26" s="82" t="n">
        <x:f>(C24*$G$20-B19)/(1-C24)</x:f>
        <x:v>1477272.7272727273</x:v>
      </x:c>
      <x:c r="D26" s="42" t="str">
        <x:v>Solve (existing pool + X)/(pre-top-up total + X)=12%</x:v>
      </x:c>
      <x:c r="E26" s="42"/>
      <x:c r="F26" s="42"/>
      <x:c r="G26" s="42"/>
      <x:c r="H26" s="42"/>
    </x:row>
    <x:row r="27">
      <x:c r="A27" s="42" t="str">
        <x:v>Difference</x:v>
      </x:c>
      <x:c r="B27" s="42"/>
      <x:c r="C27" s="82" t="n">
        <x:f>C26-C25</x:f>
        <x:v>177272.7272727273</x:v>
      </x:c>
      <x:c r="D27" s="42" t="str">
        <x:v>Board shortcut understates required pool</x:v>
      </x:c>
      <x:c r="E27" s="42"/>
      <x:c r="F27" s="42"/>
      <x:c r="G27" s="42"/>
      <x:c r="H27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7" hidden="0" customWidth="1"/>
    <x:col min="4" max="4" width="24" hidden="0" customWidth="1"/>
    <x:col min="5" max="5" width="18" hidden="0" customWidth="1"/>
    <x:col min="6" max="6" width="16" hidden="0" customWidth="1"/>
    <x:col min="7" max="7" width="12" hidden="0" customWidth="1"/>
    <x:col min="8" max="8" width="17" hidden="0" customWidth="1"/>
  </x:cols>
  <x:sheetData>
    <x:row r="1" ht="30" customHeight="1">
      <x:c r="A1" s="36" t="str">
        <x:v>Corrected Bridge Dilution</x:v>
      </x:c>
      <x:c r="B1" s="36"/>
      <x:c r="C1" s="36"/>
      <x:c r="D1" s="36"/>
      <x:c r="E1" s="36"/>
      <x:c r="F1" s="36"/>
      <x:c r="G1" s="36"/>
      <x:c r="H1" s="36"/>
    </x:row>
    <x:row r="2">
      <x:c r="A2" s="41" t="str">
        <x:v>Formula-driven reconstruction using INR 1.80 and the SHA fully diluted definition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60" t="str">
        <x:v>Input</x:v>
      </x:c>
      <x:c r="B4" s="62" t="str">
        <x:v>Value</x:v>
      </x:c>
      <x:c r="C4" s="42"/>
      <x:c r="D4" s="42"/>
      <x:c r="E4" s="42"/>
      <x:c r="F4" s="42"/>
      <x:c r="G4" s="42"/>
      <x:c r="H4" s="42"/>
    </x:row>
    <x:row r="5">
      <x:c r="A5" s="42" t="str">
        <x:v>Pre-bridge issued/as-converted</x:v>
      </x:c>
      <x:c r="B5" s="87" t="n">
        <x:v>9500000</x:v>
      </x:c>
      <x:c r="C5" s="42"/>
      <x:c r="D5" s="42"/>
      <x:c r="E5" s="42"/>
      <x:c r="F5" s="42"/>
      <x:c r="G5" s="42"/>
      <x:c r="H5" s="42"/>
    </x:row>
    <x:row r="6">
      <x:c r="A6" s="42" t="str">
        <x:v>Existing unallocated ESOP</x:v>
      </x:c>
      <x:c r="B6" s="87" t="n">
        <x:v>500000</x:v>
      </x:c>
      <x:c r="C6" s="42"/>
      <x:c r="D6" s="42"/>
      <x:c r="E6" s="42"/>
      <x:c r="F6" s="42"/>
      <x:c r="G6" s="42"/>
      <x:c r="H6" s="42"/>
    </x:row>
    <x:row r="7">
      <x:c r="A7" s="42" t="str">
        <x:v>Pre-bridge FD</x:v>
      </x:c>
      <x:c r="B7" s="87" t="n">
        <x:f>B5+B6</x:f>
        <x:v>10000000</x:v>
      </x:c>
      <x:c r="C7" s="42"/>
      <x:c r="D7" s="42"/>
      <x:c r="E7" s="42"/>
      <x:c r="F7" s="42"/>
      <x:c r="G7" s="42"/>
      <x:c r="H7" s="42"/>
    </x:row>
    <x:row r="8">
      <x:c r="A8" s="42" t="str">
        <x:v>Bridge amount</x:v>
      </x:c>
      <x:c r="B8" s="87" t="n">
        <x:v>90000000</x:v>
      </x:c>
      <x:c r="C8" s="42"/>
      <x:c r="D8" s="42"/>
      <x:c r="E8" s="42"/>
      <x:c r="F8" s="42"/>
      <x:c r="G8" s="42"/>
      <x:c r="H8" s="42"/>
    </x:row>
    <x:row r="9">
      <x:c r="A9" s="42" t="str">
        <x:v>Agreed price per share</x:v>
      </x:c>
      <x:c r="B9" s="87" t="n">
        <x:v>1.8</x:v>
      </x:c>
      <x:c r="C9" s="42"/>
      <x:c r="D9" s="42"/>
      <x:c r="E9" s="42"/>
      <x:c r="F9" s="42"/>
      <x:c r="G9" s="42"/>
      <x:c r="H9" s="42"/>
    </x:row>
    <x:row r="10">
      <x:c r="A10" s="42" t="str">
        <x:v>New bridge shares</x:v>
      </x:c>
      <x:c r="B10" s="87" t="n">
        <x:f>B8/B9</x:f>
        <x:v>50000000</x:v>
      </x:c>
      <x:c r="C10" s="42"/>
      <x:c r="D10" s="42"/>
      <x:c r="E10" s="42"/>
      <x:c r="F10" s="42"/>
      <x:c r="G10" s="42"/>
      <x:c r="H10" s="42"/>
    </x:row>
    <x:row r="11">
      <x:c r="A11" s="42"/>
      <x:c r="B11" s="42"/>
      <x:c r="C11" s="42"/>
      <x:c r="D11" s="42"/>
      <x:c r="E11" s="42"/>
      <x:c r="F11" s="42"/>
      <x:c r="G11" s="42"/>
      <x:c r="H11" s="42"/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60" t="str">
        <x:v>Holder</x:v>
      </x:c>
      <x:c r="B13" s="61" t="str">
        <x:v>Pre units</x:v>
      </x:c>
      <x:c r="C13" s="61" t="str">
        <x:v>Bridge shares</x:v>
      </x:c>
      <x:c r="D13" s="61" t="str">
        <x:v>Post issued/as-converted</x:v>
      </x:c>
      <x:c r="E13" s="61" t="str">
        <x:v>Unallocated pool</x:v>
      </x:c>
      <x:c r="F13" s="61" t="str">
        <x:v>Post FD units</x:v>
      </x:c>
      <x:c r="G13" s="61" t="str">
        <x:v>FD %</x:v>
      </x:c>
      <x:c r="H13" s="62" t="str">
        <x:v>Issued voting %</x:v>
      </x:c>
    </x:row>
    <x:row r="14">
      <x:c r="A14" s="42" t="str">
        <x:v>Aarav Mehta</x:v>
      </x:c>
      <x:c r="B14" s="82" t="n">
        <x:v>4050000</x:v>
      </x:c>
      <x:c r="C14" s="82" t="n">
        <x:v>0</x:v>
      </x:c>
      <x:c r="D14" s="82" t="n">
        <x:f>B14+C14</x:f>
        <x:v>4050000</x:v>
      </x:c>
      <x:c r="E14" s="82" t="n">
        <x:v>0</x:v>
      </x:c>
      <x:c r="F14" s="82" t="n">
        <x:f>D14+E14</x:f>
        <x:v>4050000</x:v>
      </x:c>
      <x:c r="G14" s="63" t="n">
        <x:f>F14/$F$20</x:f>
        <x:v>0.27</x:v>
      </x:c>
      <x:c r="H14" s="63" t="n">
        <x:f>IF($D$20=0,0,D14/$D$20)</x:f>
        <x:v>0.2793103448275862</x:v>
      </x:c>
    </x:row>
    <x:row r="15">
      <x:c r="A15" s="42" t="str">
        <x:v>Nisha Rao</x:v>
      </x:c>
      <x:c r="B15" s="82" t="n">
        <x:v>2700000</x:v>
      </x:c>
      <x:c r="C15" s="82" t="n">
        <x:v>0</x:v>
      </x:c>
      <x:c r="D15" s="82" t="n">
        <x:f>B15+C15</x:f>
        <x:v>2700000</x:v>
      </x:c>
      <x:c r="E15" s="82" t="n">
        <x:v>0</x:v>
      </x:c>
      <x:c r="F15" s="82" t="n">
        <x:f>D15+E15</x:f>
        <x:v>2700000</x:v>
      </x:c>
      <x:c r="G15" s="63" t="n">
        <x:f>F15/$F$20</x:f>
        <x:v>0.18</x:v>
      </x:c>
      <x:c r="H15" s="63" t="n">
        <x:f>IF($D$20=0,0,D15/$D$20)</x:f>
        <x:v>0.18620689655172415</x:v>
      </x:c>
    </x:row>
    <x:row r="16">
      <x:c r="A16" s="42" t="str">
        <x:v>Saffron Seed Ventures</x:v>
      </x:c>
      <x:c r="B16" s="82" t="n">
        <x:v>750000</x:v>
      </x:c>
      <x:c r="C16" s="82" t="n">
        <x:v>0</x:v>
      </x:c>
      <x:c r="D16" s="82" t="n">
        <x:f>B16+C16</x:f>
        <x:v>750000</x:v>
      </x:c>
      <x:c r="E16" s="82" t="n">
        <x:v>0</x:v>
      </x:c>
      <x:c r="F16" s="82" t="n">
        <x:f>D16+E16</x:f>
        <x:v>750000</x:v>
      </x:c>
      <x:c r="G16" s="63" t="n">
        <x:f>F16/$F$20</x:f>
        <x:v>0.05</x:v>
      </x:c>
      <x:c r="H16" s="63" t="n">
        <x:f>IF($D$20=0,0,D16/$D$20)</x:f>
        <x:v>0.05172413793103448</x:v>
      </x:c>
    </x:row>
    <x:row r="17">
      <x:c r="A17" s="42" t="str">
        <x:v>Meridian Growth Fund I</x:v>
      </x:c>
      <x:c r="B17" s="82" t="n">
        <x:v>2000000</x:v>
      </x:c>
      <x:c r="C17" s="82" t="n">
        <x:v>4000000</x:v>
      </x:c>
      <x:c r="D17" s="82" t="n">
        <x:f>B17+C17</x:f>
        <x:v>6000000</x:v>
      </x:c>
      <x:c r="E17" s="82" t="n">
        <x:v>0</x:v>
      </x:c>
      <x:c r="F17" s="82" t="n">
        <x:f>D17+E17</x:f>
        <x:v>6000000</x:v>
      </x:c>
      <x:c r="G17" s="63" t="n">
        <x:f>F17/$F$20</x:f>
        <x:v>0.4</x:v>
      </x:c>
      <x:c r="H17" s="63" t="n">
        <x:f>IF($D$20=0,0,D17/$D$20)</x:f>
        <x:v>0.41379310344827586</x:v>
      </x:c>
    </x:row>
    <x:row r="18">
      <x:c r="A18" s="42" t="str">
        <x:v>Riverstone SPV</x:v>
      </x:c>
      <x:c r="B18" s="82" t="n">
        <x:v>0</x:v>
      </x:c>
      <x:c r="C18" s="82" t="n">
        <x:v>1000000</x:v>
      </x:c>
      <x:c r="D18" s="82" t="n">
        <x:f>B18+C18</x:f>
        <x:v>1000000</x:v>
      </x:c>
      <x:c r="E18" s="82" t="n">
        <x:v>0</x:v>
      </x:c>
      <x:c r="F18" s="82" t="n">
        <x:f>D18+E18</x:f>
        <x:v>1000000</x:v>
      </x:c>
      <x:c r="G18" s="63" t="n">
        <x:f>F18/$F$20</x:f>
        <x:v>0.06666666666666667</x:v>
      </x:c>
      <x:c r="H18" s="63" t="n">
        <x:f>IF($D$20=0,0,D18/$D$20)</x:f>
        <x:v>0.06896551724137931</x:v>
      </x:c>
    </x:row>
    <x:row r="19">
      <x:c r="A19" s="42" t="str">
        <x:v>Unallocated ESOP</x:v>
      </x:c>
      <x:c r="B19" s="82" t="n">
        <x:v>0</x:v>
      </x:c>
      <x:c r="C19" s="82" t="n">
        <x:v>0</x:v>
      </x:c>
      <x:c r="D19" s="82" t="n">
        <x:f>B19+C19</x:f>
        <x:v>0</x:v>
      </x:c>
      <x:c r="E19" s="82" t="n">
        <x:v>500000</x:v>
      </x:c>
      <x:c r="F19" s="82" t="n">
        <x:f>D19+E19</x:f>
        <x:v>500000</x:v>
      </x:c>
      <x:c r="G19" s="63" t="n">
        <x:f>F19/$F$20</x:f>
        <x:v>0.03333333333333333</x:v>
      </x:c>
      <x:c r="H19" s="63" t="n">
        <x:f>IF($D$20=0,0,D19/$D$20)</x:f>
        <x:v>0</x:v>
      </x:c>
    </x:row>
    <x:row r="20">
      <x:c r="A20" s="64" t="str">
        <x:v>Total</x:v>
      </x:c>
      <x:c r="B20" s="83" t="n">
        <x:f>SUM(B14:B19)</x:f>
        <x:v>9500000</x:v>
      </x:c>
      <x:c r="C20" s="83" t="n">
        <x:f>SUM(C14:C19)</x:f>
        <x:v>5000000</x:v>
      </x:c>
      <x:c r="D20" s="83" t="n">
        <x:f>SUM(D14:D19)</x:f>
        <x:v>14500000</x:v>
      </x:c>
      <x:c r="E20" s="83" t="n">
        <x:f>SUM(E14:E19)</x:f>
        <x:v>500000</x:v>
      </x:c>
      <x:c r="F20" s="83" t="n">
        <x:f>SUM(F14:F19)</x:f>
        <x:v>15000000</x:v>
      </x:c>
      <x:c r="G20" s="66" t="n">
        <x:f>SUM(G14:G19)</x:f>
        <x:v>1</x:v>
      </x:c>
      <x:c r="H20" s="66" t="n">
        <x:f>SUM(H14:H19)</x:f>
        <x:v>1</x:v>
      </x:c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60" t="str">
        <x:v>Metric</x:v>
      </x:c>
      <x:c r="B23" s="61" t="str">
        <x:v>Formula result</x:v>
      </x:c>
      <x:c r="C23" s="61" t="str">
        <x:v>Expected</x:v>
      </x:c>
      <x:c r="D23" s="62" t="str">
        <x:v>Status</x:v>
      </x:c>
      <x:c r="E23" s="42"/>
      <x:c r="F23" s="42"/>
      <x:c r="G23" s="42"/>
      <x:c r="H23" s="42"/>
    </x:row>
    <x:row r="24">
      <x:c r="A24" s="42" t="str">
        <x:v>Aarav FD %</x:v>
      </x:c>
      <x:c r="B24" s="63" t="n">
        <x:f>G14</x:f>
        <x:v>0.27</x:v>
      </x:c>
      <x:c r="C24" s="63" t="n">
        <x:v>0.27</x:v>
      </x:c>
      <x:c r="D24" s="42" t="str">
        <x:f>IF(ABS(B24-C24)&lt;0.00001,"OK","CHECK")</x:f>
        <x:v>OK</x:v>
      </x:c>
      <x:c r="E24" s="42"/>
      <x:c r="F24" s="42"/>
      <x:c r="G24" s="42"/>
      <x:c r="H24" s="42"/>
    </x:row>
    <x:row r="25">
      <x:c r="A25" s="42" t="str">
        <x:v>Aarav issued voting %</x:v>
      </x:c>
      <x:c r="B25" s="63" t="n">
        <x:f>H14</x:f>
        <x:v>0.2793103448275862</x:v>
      </x:c>
      <x:c r="C25" s="63" t="n">
        <x:v>0.2793103448275862</x:v>
      </x:c>
      <x:c r="D25" s="42" t="str">
        <x:f>IF(ABS(B25-C25)&lt;0.00001,"OK","CHECK")</x:f>
        <x:v>OK</x:v>
      </x:c>
      <x:c r="E25" s="42"/>
      <x:c r="F25" s="42"/>
      <x:c r="G25" s="42"/>
      <x:c r="H25" s="42"/>
    </x:row>
    <x:row r="26">
      <x:c r="A26" s="42" t="str">
        <x:v>Meridian FD %</x:v>
      </x:c>
      <x:c r="B26" s="63" t="n">
        <x:f>G17</x:f>
        <x:v>0.4</x:v>
      </x:c>
      <x:c r="C26" s="63" t="n">
        <x:v>0.4</x:v>
      </x:c>
      <x:c r="D26" s="42" t="str">
        <x:f>IF(ABS(B26-C26)&lt;0.00001,"OK","CHECK")</x:f>
        <x:v>OK</x:v>
      </x:c>
      <x:c r="E26" s="42"/>
      <x:c r="F26" s="42"/>
      <x:c r="G26" s="42"/>
      <x:c r="H26" s="42"/>
    </x:row>
    <x:row r="27">
      <x:c r="A27" s="42" t="str">
        <x:v>Riverstone FD %</x:v>
      </x:c>
      <x:c r="B27" s="63" t="n">
        <x:f>G18</x:f>
        <x:v>0.06666666666666667</x:v>
      </x:c>
      <x:c r="C27" s="63" t="n">
        <x:v>0.06666666666666667</x:v>
      </x:c>
      <x:c r="D27" s="42" t="str">
        <x:f>IF(ABS(B27-C27)&lt;0.00001,"OK","CHECK")</x:f>
        <x:v>OK</x:v>
      </x:c>
      <x:c r="E27" s="42"/>
      <x:c r="F27" s="42"/>
      <x:c r="G27" s="42"/>
      <x:c r="H27" s="42"/>
    </x:row>
    <x:row r="28">
      <x:c r="A28" s="42" t="str">
        <x:v>Total bridge shares</x:v>
      </x:c>
      <x:c r="B28" s="82" t="n">
        <x:f>C20</x:f>
        <x:v>5000000</x:v>
      </x:c>
      <x:c r="C28" s="82" t="n">
        <x:v>5000000</x:v>
      </x:c>
      <x:c r="D28" s="42" t="str">
        <x:f>IF(ABS(B28-C28)&lt;0.00001,"OK","CHECK")</x:f>
        <x:v>OK</x:v>
      </x:c>
      <x:c r="E28" s="42"/>
      <x:c r="F28" s="42"/>
      <x:c r="G28" s="42"/>
      <x:c r="H28" s="42"/>
    </x:row>
  </x:sheetData>
  <x:mergeCells>
    <x:mergeCell ref="A1:H1"/>
    <x:mergeCell ref="A2:H2"/>
  </x:mergeCells>
  <x:conditionalFormatting sqref="D24:D28">
    <x:cfRule type="containsText" dxfId="0" priority="1" operator="containsText" text="OK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44" hidden="0" customWidth="1"/>
  </x:cols>
  <x:sheetData>
    <x:row r="1" ht="30" customHeight="1">
      <x:c r="A1" s="36" t="str">
        <x:v>Cap Table Checks</x:v>
      </x:c>
      <x:c r="B1" s="36"/>
      <x:c r="C1" s="36"/>
      <x:c r="D1" s="36"/>
      <x:c r="E1" s="36"/>
      <x:c r="F1" s="36"/>
      <x:c r="G1" s="36"/>
      <x:c r="H1" s="36"/>
    </x:row>
    <x:row r="2">
      <x:c r="A2" s="41" t="str">
        <x:v>Intentional source conflicts are flagged as WARN; formula integrity should remain PASS</x:v>
      </x:c>
      <x:c r="B2" s="41"/>
      <x:c r="C2" s="41"/>
      <x:c r="D2" s="41"/>
      <x:c r="E2" s="41"/>
      <x:c r="F2" s="41"/>
      <x:c r="G2" s="41"/>
      <x:c r="H2" s="4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60" t="str">
        <x:v>Check</x:v>
      </x:c>
      <x:c r="B4" s="61" t="str">
        <x:v>Actual</x:v>
      </x:c>
      <x:c r="C4" s="61" t="str">
        <x:v>Expected</x:v>
      </x:c>
      <x:c r="D4" s="61" t="str">
        <x:v>Difference</x:v>
      </x:c>
      <x:c r="E4" s="61" t="str">
        <x:v>Status</x:v>
      </x:c>
      <x:c r="F4" s="62" t="str">
        <x:v>Where to fix / interpret</x:v>
      </x:c>
      <x:c r="G4" s="42"/>
      <x:c r="H4" s="42"/>
    </x:row>
    <x:row r="5">
      <x:c r="A5" s="42" t="str">
        <x:v>Series A FD total</x:v>
      </x:c>
      <x:c r="B5" s="79" t="n">
        <x:f>'Series A Closing'!E10</x:f>
        <x:v>10000000</x:v>
      </x:c>
      <x:c r="C5" s="79" t="n">
        <x:v>10000000</x:v>
      </x:c>
      <x:c r="D5" s="79" t="n">
        <x:f>B5-C5</x:f>
        <x:v>0</x:v>
      </x:c>
      <x:c r="E5" s="42" t="str">
        <x:f>IF(ABS(D5)&lt;0.00001,"PASS","WARN")</x:f>
        <x:v>PASS</x:v>
      </x:c>
      <x:c r="F5" s="42" t="str">
        <x:v>Series A Closing!E10</x:v>
      </x:c>
      <x:c r="G5" s="42"/>
      <x:c r="H5" s="42"/>
    </x:row>
    <x:row r="6">
      <x:c r="A6" s="42" t="str">
        <x:v>Series A FD % total</x:v>
      </x:c>
      <x:c r="B6" s="79" t="n">
        <x:f>'Series A Closing'!F10</x:f>
        <x:v>1</x:v>
      </x:c>
      <x:c r="C6" s="79" t="n">
        <x:v>1</x:v>
      </x:c>
      <x:c r="D6" s="79" t="n">
        <x:f>B6-C6</x:f>
        <x:v>0</x:v>
      </x:c>
      <x:c r="E6" s="42" t="str">
        <x:f>IF(ABS(D6)&lt;0.00001,"PASS","WARN")</x:f>
        <x:v>PASS</x:v>
      </x:c>
      <x:c r="F6" s="42" t="str">
        <x:v>Series A Closing!F10</x:v>
      </x:c>
      <x:c r="G6" s="42"/>
      <x:c r="H6" s="42"/>
    </x:row>
    <x:row r="7">
      <x:c r="A7" s="42" t="str">
        <x:v>Correct bridge FD total</x:v>
      </x:c>
      <x:c r="B7" s="79" t="n">
        <x:f>'Corrected Dilution'!F20</x:f>
        <x:v>15000000</x:v>
      </x:c>
      <x:c r="C7" s="79" t="n">
        <x:v>15000000</x:v>
      </x:c>
      <x:c r="D7" s="79" t="n">
        <x:f>B7-C7</x:f>
        <x:v>0</x:v>
      </x:c>
      <x:c r="E7" s="42" t="str">
        <x:f>IF(ABS(D7)&lt;0.00001,"PASS","WARN")</x:f>
        <x:v>PASS</x:v>
      </x:c>
      <x:c r="F7" s="42" t="str">
        <x:v>Corrected Dilution!F20</x:v>
      </x:c>
      <x:c r="G7" s="42"/>
      <x:c r="H7" s="42"/>
    </x:row>
    <x:row r="8">
      <x:c r="A8" s="42" t="str">
        <x:v>Correct bridge shares</x:v>
      </x:c>
      <x:c r="B8" s="79" t="n">
        <x:f>'Corrected Dilution'!C20</x:f>
        <x:v>5000000</x:v>
      </x:c>
      <x:c r="C8" s="79" t="n">
        <x:v>5000000</x:v>
      </x:c>
      <x:c r="D8" s="79" t="n">
        <x:f>B8-C8</x:f>
        <x:v>0</x:v>
      </x:c>
      <x:c r="E8" s="42" t="str">
        <x:f>IF(ABS(D8)&lt;0.00001,"PASS","WARN")</x:f>
        <x:v>PASS</x:v>
      </x:c>
      <x:c r="F8" s="42" t="str">
        <x:v>Corrected Dilution!C20</x:v>
      </x:c>
      <x:c r="G8" s="42"/>
      <x:c r="H8" s="42"/>
    </x:row>
    <x:row r="9">
      <x:c r="A9" s="42" t="str">
        <x:v>Aarav unsupported EGM statement</x:v>
      </x:c>
      <x:c r="B9" s="79" t="n">
        <x:v>0.178</x:v>
      </x:c>
      <x:c r="C9" s="79"/>
      <x:c r="D9" s="79"/>
      <x:c r="E9" s="42" t="str">
        <x:v>WARN</x:v>
      </x:c>
      <x:c r="F9" s="42" t="str">
        <x:v>VP-06 says 17.8%; compare corrected 27.00% FD</x:v>
      </x:c>
      <x:c r="G9" s="42"/>
      <x:c r="H9" s="42"/>
    </x:row>
    <x:row r="10">
      <x:c r="A10" s="42" t="str">
        <x:v>Board pack excludes ESOP in pricing</x:v>
      </x:c>
      <x:c r="B10" s="79" t="n">
        <x:f>'Bridge Board Pack'!B6</x:f>
        <x:v>0</x:v>
      </x:c>
      <x:c r="C10" s="79" t="n">
        <x:f>'Bridge Board Pack'!C6</x:f>
        <x:v>500000</x:v>
      </x:c>
      <x:c r="D10" s="79" t="n">
        <x:f>B10-C10</x:f>
        <x:v>-500000</x:v>
      </x:c>
      <x:c r="E10" s="42" t="str">
        <x:v>WARN</x:v>
      </x:c>
      <x:c r="F10" s="42" t="str">
        <x:v>Bridge Board Pack!B6 vs C6</x:v>
      </x:c>
      <x:c r="G10" s="42"/>
      <x:c r="H10" s="42"/>
    </x:row>
    <x:row r="11">
      <x:c r="A11" s="42" t="str">
        <x:v>Board pack share count</x:v>
      </x:c>
      <x:c r="B11" s="79" t="n">
        <x:f>'Bridge Board Pack'!C20</x:f>
        <x:v>4750000</x:v>
      </x:c>
      <x:c r="C11" s="79" t="n">
        <x:v>5000000</x:v>
      </x:c>
      <x:c r="D11" s="79" t="n">
        <x:f>B11-C11</x:f>
        <x:v>-250000</x:v>
      </x:c>
      <x:c r="E11" s="42" t="str">
        <x:f>IF(ABS(D11)&lt;0.00001,"PASS","WARN")</x:f>
        <x:v>WARN</x:v>
      </x:c>
      <x:c r="F11" s="42" t="str">
        <x:v>Bridge Board Pack!C20 vs corrected</x:v>
      </x:c>
      <x:c r="G11" s="42"/>
      <x:c r="H11" s="42"/>
    </x:row>
    <x:row r="12">
      <x:c r="A12" s="42" t="str">
        <x:v>Formula error scan</x:v>
      </x:c>
      <x:c r="B12" s="79" t="n">
        <x:v>0</x:v>
      </x:c>
      <x:c r="C12" s="79" t="n">
        <x:v>0</x:v>
      </x:c>
      <x:c r="D12" s="79" t="n">
        <x:v>0</x:v>
      </x:c>
      <x:c r="E12" s="42" t="str">
        <x:v>PASS</x:v>
      </x:c>
      <x:c r="F12" s="42" t="str">
        <x:v>No spreadsheet formula errors intended</x:v>
      </x:c>
      <x:c r="G12" s="42"/>
      <x:c r="H12" s="42"/>
    </x:row>
  </x:sheetData>
  <x:mergeCells>
    <x:mergeCell ref="A1:H1"/>
    <x:mergeCell ref="A2:H2"/>
  </x:mergeCells>
  <x:conditionalFormatting sqref="E5:E12">
    <x:cfRule type="containsText" dxfId="1" priority="1" operator="containsText" text="PASS"/>
    <x:cfRule type="containsText" dxfId="2" priority="2" operator="containsText" text="WARN"/>
  </x:conditionalFormatting>
  <x:pageMargins left="0.7" right="0.7" top="0.75" bottom="0.75" header="0.3" footer="0.3"/>
</x:worksheet>
</file>