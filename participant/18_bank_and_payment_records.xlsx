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99c896980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ec7738257cd748cd"/>
    <x:sheet xmlns:r="http://schemas.openxmlformats.org/officeDocument/2006/relationships" name="Bank Statement" sheetId="2" r:id="R1de9741dba5d4ab5"/>
    <x:sheet xmlns:r="http://schemas.openxmlformats.org/officeDocument/2006/relationships" name="Internal Ledger" sheetId="3" r:id="R5934bd37cb9747d8"/>
    <x:sheet xmlns:r="http://schemas.openxmlformats.org/officeDocument/2006/relationships" name="Reconciliation" sheetId="4" r:id="R144d344c24b549da"/>
    <x:sheet xmlns:r="http://schemas.openxmlformats.org/officeDocument/2006/relationships" name="Checks" sheetId="5" r:id="R88d988144231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₹#,##0;[Red](₹#,##0);-"/>
    <x:numFmt numFmtId="201" formatCode="yyyy-mm-dd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55555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b/>
      <x:sz val="16"/>
      <x:color rgb="FFFFFFFF"/>
      <x:name val="Arial"/>
    </x:font>
    <x:font>
      <x:i/>
      <x:sz val="10"/>
      <x:color rgb="FF555555"/>
      <x:name val="Arial"/>
    </x:font>
    <x:font>
      <x:sz val="11"/>
      <x:name val="Arial"/>
    </x:font>
    <x:font>
      <x:b/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1"/>
      <x:color rgb="FF000000"/>
      <x:name val="Arial"/>
    </x:font>
    <x:font>
      <x:b/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2F4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3" borderId="0" xfId="0" applyNumberFormat="1" applyFont="1" applyFill="1" applyBorder="1"/>
    <x:xf numFmtId="200" fontId="7" fillId="0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3" borderId="0" xfId="0" applyNumberFormat="1" applyFont="1" applyFill="1" applyBorder="1"/>
    <x:xf numFmtId="20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wrapText="1"/>
    </x:xf>
    <x:xf numFmtId="0" fontId="12" fillId="5" borderId="2" xfId="0" applyNumberFormat="1" applyFont="1" applyFill="1" applyBorder="1" applyAlignment="1">
      <x:alignment wrapText="1"/>
    </x:xf>
    <x:xf numFmtId="0" fontId="12" fillId="5" borderId="3" xfId="0" applyNumberFormat="1" applyFont="1" applyFill="1" applyBorder="1" applyAlignment="1">
      <x:alignment wrapText="1"/>
    </x:xf>
    <x:xf numFmtId="201" fontId="7" fillId="0" borderId="0" xfId="0" applyNumberFormat="1" applyFont="1" applyFill="1" applyBorder="1"/>
    <x:xf numFmtId="0" fontId="13" fillId="5" borderId="1" xfId="0" applyNumberFormat="1" applyFont="1" applyFill="1" applyBorder="1" applyAlignment="1">
      <x:alignment wrapText="1"/>
    </x:xf>
    <x:xf numFmtId="0" fontId="13" fillId="5" borderId="2" xfId="0" applyNumberFormat="1" applyFont="1" applyFill="1" applyBorder="1" applyAlignment="1">
      <x:alignment wrapText="1"/>
    </x:xf>
    <x:xf numFmtId="0" fontId="13" fillId="5" borderId="3" xfId="0" applyNumberFormat="1" applyFont="1" applyFill="1" applyBorder="1" applyAlignment="1">
      <x:alignment wrapText="1"/>
    </x:xf>
    <x:xf numFmtId="201" fontId="10" fillId="0" borderId="0" xfId="0" applyNumberFormat="1" applyFont="1" applyFill="1" applyBorder="1"/>
    <x:xf numFmtId="0" fontId="13" fillId="5" borderId="1" xfId="0" applyNumberFormat="1" applyFont="1" applyFill="1" applyBorder="1" applyAlignment="1">
      <x:alignment vertical="center" wrapText="1"/>
    </x:xf>
    <x:xf numFmtId="0" fontId="13" fillId="5" borderId="2" xfId="0" applyNumberFormat="1" applyFont="1" applyFill="1" applyBorder="1" applyAlignment="1">
      <x:alignment vertical="center" wrapText="1"/>
    </x:xf>
    <x:xf numFmtId="0" fontId="13" fillId="5" borderId="3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f7bfd9b014f1a" /><Relationship Type="http://schemas.openxmlformats.org/officeDocument/2006/relationships/theme" Target="/xl/theme/theme1.xml" Id="Rb08b90e2e3eb49ff" /><Relationship Type="http://schemas.openxmlformats.org/officeDocument/2006/relationships/sharedStrings" Target="/xl/sharedStrings.xml" Id="Re6c11b32497b4076" /><Relationship Type="http://schemas.openxmlformats.org/officeDocument/2006/relationships/worksheet" Target="/xl/worksheets/sheet1.xml" Id="Rec7738257cd748cd" /><Relationship Type="http://schemas.openxmlformats.org/officeDocument/2006/relationships/worksheet" Target="/xl/worksheets/sheet2.xml" Id="R1de9741dba5d4ab5" /><Relationship Type="http://schemas.openxmlformats.org/officeDocument/2006/relationships/worksheet" Target="/xl/worksheets/sheet3.xml" Id="R5934bd37cb9747d8" /><Relationship Type="http://schemas.openxmlformats.org/officeDocument/2006/relationships/worksheet" Target="/xl/worksheets/sheet4.xml" Id="R144d344c24b549da" /><Relationship Type="http://schemas.openxmlformats.org/officeDocument/2006/relationships/worksheet" Target="/xl/worksheets/sheet5.xml" Id="R88d98814423143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27" t="str">
        <x:v>VertexPay Bank and Payment Records</x:v>
      </x:c>
      <x:c r="B1" s="27"/>
      <x:c r="C1" s="27"/>
      <x:c r="D1" s="27"/>
      <x:c r="E1" s="27"/>
      <x:c r="F1" s="27"/>
      <x:c r="G1" s="27"/>
      <x:c r="H1" s="27"/>
    </x:row>
    <x:row r="2">
      <x:c r="A2" s="32" t="str">
        <x:v>VP-18 | HDFC operating account extract and internal ledger reconciliation</x:v>
      </x:c>
      <x:c r="B2" s="32"/>
      <x:c r="C2" s="32"/>
      <x:c r="D2" s="32"/>
      <x:c r="E2" s="32"/>
      <x:c r="F2" s="32"/>
      <x:c r="G2" s="32"/>
      <x:c r="H2" s="32"/>
    </x:row>
    <x:row r="3">
      <x:c r="A3" s="33"/>
      <x:c r="B3" s="33"/>
      <x:c r="C3" s="33"/>
      <x:c r="D3" s="33"/>
      <x:c r="E3" s="33"/>
      <x:c r="F3" s="33"/>
      <x:c r="G3" s="33"/>
      <x:c r="H3" s="33"/>
    </x:row>
    <x:row r="4">
      <x:c r="A4" s="34" t="str">
        <x:v>Account name</x:v>
      </x:c>
      <x:c r="B4" s="33" t="str">
        <x:v>VertexPay Technologies Private Limited</x:v>
      </x:c>
      <x:c r="C4" s="33"/>
      <x:c r="D4" s="33"/>
      <x:c r="E4" s="33"/>
      <x:c r="F4" s="33"/>
      <x:c r="G4" s="33"/>
      <x:c r="H4" s="33"/>
    </x:row>
    <x:row r="5">
      <x:c r="A5" s="34" t="str">
        <x:v>Bank / account</x:v>
      </x:c>
      <x:c r="B5" s="33" t="str">
        <x:v>HDFC Bank / masked ending 4419</x:v>
      </x:c>
      <x:c r="C5" s="33"/>
      <x:c r="D5" s="33"/>
      <x:c r="E5" s="33"/>
      <x:c r="F5" s="33"/>
      <x:c r="G5" s="33"/>
      <x:c r="H5" s="33"/>
    </x:row>
    <x:row r="6">
      <x:c r="A6" s="34" t="str">
        <x:v>Statement period</x:v>
      </x:c>
      <x:c r="B6" s="33" t="str">
        <x:v>1 April-10 October 2025</x:v>
      </x:c>
      <x:c r="C6" s="33"/>
      <x:c r="D6" s="33"/>
      <x:c r="E6" s="33"/>
      <x:c r="F6" s="33"/>
      <x:c r="G6" s="33"/>
      <x:c r="H6" s="33"/>
    </x:row>
    <x:row r="7">
      <x:c r="A7" s="34" t="str">
        <x:v>Opening balance</x:v>
      </x:c>
      <x:c r="B7" s="35" t="n">
        <x:v>53000000</x:v>
      </x:c>
      <x:c r="C7" s="33"/>
      <x:c r="D7" s="33"/>
      <x:c r="E7" s="33"/>
      <x:c r="F7" s="33"/>
      <x:c r="G7" s="33"/>
      <x:c r="H7" s="33"/>
    </x:row>
    <x:row r="8">
      <x:c r="A8" s="34" t="str">
        <x:v>Vertex Labs payments</x:v>
      </x:c>
      <x:c r="B8" s="35" t="n">
        <x:v>24100000</x:v>
      </x:c>
      <x:c r="C8" s="33"/>
      <x:c r="D8" s="33"/>
      <x:c r="E8" s="33"/>
      <x:c r="F8" s="33"/>
      <x:c r="G8" s="33"/>
      <x:c r="H8" s="33"/>
    </x:row>
    <x:row r="9">
      <x:c r="A9" s="34" t="str">
        <x:v>Vertex Labs refund</x:v>
      </x:c>
      <x:c r="B9" s="35" t="n">
        <x:v>3200000</x:v>
      </x:c>
      <x:c r="C9" s="33"/>
      <x:c r="D9" s="33"/>
      <x:c r="E9" s="33"/>
      <x:c r="F9" s="33"/>
      <x:c r="G9" s="33"/>
      <x:c r="H9" s="33"/>
    </x:row>
    <x:row r="10">
      <x:c r="A10" s="34" t="str">
        <x:v>Meridian receipt</x:v>
      </x:c>
      <x:c r="B10" s="35" t="n">
        <x:v>72000000</x:v>
      </x:c>
      <x:c r="C10" s="33"/>
      <x:c r="D10" s="33"/>
      <x:c r="E10" s="33"/>
      <x:c r="F10" s="33"/>
      <x:c r="G10" s="33"/>
      <x:c r="H10" s="33"/>
    </x:row>
    <x:row r="11">
      <x:c r="A11" s="34" t="str">
        <x:v>Riverstone receipt</x:v>
      </x:c>
      <x:c r="B11" s="35" t="n">
        <x:v>17100000</x:v>
      </x:c>
      <x:c r="C11" s="33"/>
      <x:c r="D11" s="33"/>
      <x:c r="E11" s="33"/>
      <x:c r="F11" s="33"/>
      <x:c r="G11" s="33"/>
      <x:c r="H11" s="33"/>
    </x:row>
    <x:row r="12">
      <x:c r="A12" s="34" t="str">
        <x:v>Riverstone allotment consideration</x:v>
      </x:c>
      <x:c r="B12" s="35" t="n">
        <x:v>18000000</x:v>
      </x:c>
      <x:c r="C12" s="33"/>
      <x:c r="D12" s="33"/>
      <x:c r="E12" s="33"/>
      <x:c r="F12" s="33"/>
      <x:c r="G12" s="33"/>
      <x:c r="H12" s="33"/>
    </x:row>
    <x:row r="13">
      <x:c r="A13" s="34" t="str">
        <x:v>Subscription shortfall</x:v>
      </x:c>
      <x:c r="B13" s="35" t="n">
        <x:f>B12-B11</x:f>
        <x:v>900000</x:v>
      </x:c>
      <x:c r="C13" s="33"/>
      <x:c r="D13" s="33"/>
      <x:c r="E13" s="33"/>
      <x:c r="F13" s="33"/>
      <x:c r="G13" s="33"/>
      <x:c r="H13" s="33"/>
    </x:row>
    <x:row r="14">
      <x:c r="A14" s="33"/>
      <x:c r="B14" s="33"/>
      <x:c r="C14" s="33"/>
      <x:c r="D14" s="33"/>
      <x:c r="E14" s="33"/>
      <x:c r="F14" s="33"/>
      <x:c r="G14" s="33"/>
      <x:c r="H14" s="33"/>
    </x:row>
    <x:row r="15">
      <x:c r="A15" s="33"/>
      <x:c r="B15" s="33"/>
      <x:c r="C15" s="33"/>
      <x:c r="D15" s="33"/>
      <x:c r="E15" s="33"/>
      <x:c r="F15" s="33"/>
      <x:c r="G15" s="33"/>
      <x:c r="H15" s="33"/>
    </x:row>
    <x:row r="16">
      <x:c r="A16" s="36" t="str">
        <x:v>Evidence limitations: the statement rows are a synthetic bank export. The participant file does not include bank officer certification, complete mandate forms, source SWIFT/NEFT messages or the Riverstone diligence mandate. One bank reference differs by one digit from the internal ledger; categories and approval records also conflict.</x:v>
      </x:c>
      <x:c r="B16" s="36"/>
      <x:c r="C16" s="36"/>
      <x:c r="D16" s="36"/>
      <x:c r="E16" s="36"/>
      <x:c r="F16" s="36"/>
      <x:c r="G16" s="36"/>
      <x:c r="H16" s="36"/>
    </x:row>
    <x:row r="17">
      <x:c r="A17" s="36"/>
      <x:c r="B17" s="36"/>
      <x:c r="C17" s="36"/>
      <x:c r="D17" s="36"/>
      <x:c r="E17" s="36"/>
      <x:c r="F17" s="36"/>
      <x:c r="G17" s="36"/>
      <x:c r="H17" s="36"/>
    </x:row>
    <x:row r="18">
      <x:c r="A18" s="36"/>
      <x:c r="B18" s="36"/>
      <x:c r="C18" s="36"/>
      <x:c r="D18" s="36"/>
      <x:c r="E18" s="36"/>
      <x:c r="F18" s="36"/>
      <x:c r="G18" s="36"/>
      <x:c r="H18" s="36"/>
    </x:row>
    <x:row r="19">
      <x:c r="A19" s="36"/>
      <x:c r="B19" s="36"/>
      <x:c r="C19" s="36"/>
      <x:c r="D19" s="36"/>
      <x:c r="E19" s="36"/>
      <x:c r="F19" s="36"/>
      <x:c r="G19" s="36"/>
      <x:c r="H19" s="36"/>
    </x:row>
    <x:row r="20">
      <x:c r="A20" s="36"/>
      <x:c r="B20" s="36"/>
      <x:c r="C20" s="36"/>
      <x:c r="D20" s="36"/>
      <x:c r="E20" s="36"/>
      <x:c r="F20" s="36"/>
      <x:c r="G20" s="36"/>
      <x:c r="H20" s="36"/>
    </x:row>
  </x:sheetData>
  <x:mergeCells>
    <x:mergeCell ref="A1:H1"/>
    <x:mergeCell ref="A2:H2"/>
    <x:mergeCell ref="A16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5" hidden="0" customWidth="1"/>
    <x:col min="4" max="4" width="36" hidden="0" customWidth="1"/>
    <x:col min="5" max="5" width="15" hidden="0" customWidth="1"/>
    <x:col min="6" max="6" width="15" hidden="0" customWidth="1"/>
    <x:col min="7" max="7" width="17" hidden="0" customWidth="1"/>
    <x:col min="8" max="8" width="28" hidden="0" customWidth="1"/>
  </x:cols>
  <x:sheetData>
    <x:row r="1" ht="30" customHeight="1">
      <x:c r="A1" s="27" t="str">
        <x:v>Bank Statement Extract</x:v>
      </x:c>
      <x:c r="B1" s="27"/>
      <x:c r="C1" s="27"/>
      <x:c r="D1" s="27"/>
      <x:c r="E1" s="27"/>
      <x:c r="F1" s="27"/>
      <x:c r="G1" s="27"/>
      <x:c r="H1" s="27"/>
    </x:row>
    <x:row r="2">
      <x:c r="A2" s="32" t="str">
        <x:v>Account ending 4419 | Values in INR | Chronological extract, not a complete statement</x:v>
      </x:c>
      <x:c r="B2" s="32"/>
      <x:c r="C2" s="32"/>
      <x:c r="D2" s="32"/>
      <x:c r="E2" s="32"/>
      <x:c r="F2" s="32"/>
      <x:c r="G2" s="32"/>
      <x:c r="H2" s="32"/>
    </x:row>
    <x:row r="3">
      <x:c r="A3" s="33"/>
      <x:c r="B3" s="33"/>
      <x:c r="C3" s="33"/>
      <x:c r="D3" s="33"/>
      <x:c r="E3" s="33"/>
      <x:c r="F3" s="33"/>
      <x:c r="G3" s="33"/>
      <x:c r="H3" s="33"/>
    </x:row>
    <x:row r="4">
      <x:c r="A4" s="45" t="str">
        <x:v>Date</x:v>
      </x:c>
      <x:c r="B4" s="46" t="str">
        <x:v>Value date</x:v>
      </x:c>
      <x:c r="C4" s="46" t="str">
        <x:v>Bank reference</x:v>
      </x:c>
      <x:c r="D4" s="46" t="str">
        <x:v>Narration</x:v>
      </x:c>
      <x:c r="E4" s="46" t="str">
        <x:v>Debit</x:v>
      </x:c>
      <x:c r="F4" s="46" t="str">
        <x:v>Credit</x:v>
      </x:c>
      <x:c r="G4" s="46" t="str">
        <x:v>Running balance</x:v>
      </x:c>
      <x:c r="H4" s="47" t="str">
        <x:v>Counterparty</x:v>
      </x:c>
    </x:row>
    <x:row r="5">
      <x:c r="A5" s="48" t="n">
        <x:v>45748</x:v>
      </x:c>
      <x:c r="B5" s="48" t="n">
        <x:v>45748</x:v>
      </x:c>
      <x:c r="C5" s="33" t="str">
        <x:v>OPEN</x:v>
      </x:c>
      <x:c r="D5" s="33" t="str">
        <x:v>Balance brought forward</x:v>
      </x:c>
      <x:c r="E5" s="35" t="n">
        <x:v>0</x:v>
      </x:c>
      <x:c r="F5" s="35" t="n">
        <x:v>53000000</x:v>
      </x:c>
      <x:c r="G5" s="35" t="n">
        <x:f>F5-E5</x:f>
        <x:v>53000000</x:v>
      </x:c>
      <x:c r="H5" s="33" t="str"/>
    </x:row>
    <x:row r="6">
      <x:c r="A6" s="48" t="n">
        <x:v>45761</x:v>
      </x:c>
      <x:c r="B6" s="48" t="n">
        <x:v>45761</x:v>
      </x:c>
      <x:c r="C6" s="33" t="str">
        <x:v>HDFCR5202504142241</x:v>
      </x:c>
      <x:c r="D6" s="33" t="str">
        <x:v>VERTEX LABS / SOFTWARE SPRINT</x:v>
      </x:c>
      <x:c r="E6" s="35" t="n">
        <x:v>4800000</x:v>
      </x:c>
      <x:c r="F6" s="35" t="n">
        <x:v>0</x:v>
      </x:c>
      <x:c r="G6" s="35" t="n">
        <x:f>G5+F6-E6</x:f>
        <x:v>48200000</x:v>
      </x:c>
      <x:c r="H6" s="33" t="str">
        <x:v>Vertex Labs LLP</x:v>
      </x:c>
    </x:row>
    <x:row r="7">
      <x:c r="A7" s="48" t="n">
        <x:v>45777</x:v>
      </x:c>
      <x:c r="B7" s="48" t="n">
        <x:v>45777</x:v>
      </x:c>
      <x:c r="C7" s="33" t="str">
        <x:v>PAYROLLAPR</x:v>
      </x:c>
      <x:c r="D7" s="33" t="str">
        <x:v>SALARY AND STATUTORY</x:v>
      </x:c>
      <x:c r="E7" s="35" t="n">
        <x:v>12400000</x:v>
      </x:c>
      <x:c r="F7" s="35" t="n">
        <x:v>0</x:v>
      </x:c>
      <x:c r="G7" s="35" t="n">
        <x:f>G6+F7-E7</x:f>
        <x:v>35800000</x:v>
      </x:c>
      <x:c r="H7" s="33" t="str">
        <x:v>Payroll</x:v>
      </x:c>
    </x:row>
    <x:row r="8">
      <x:c r="A8" s="48" t="n">
        <x:v>45800</x:v>
      </x:c>
      <x:c r="B8" s="48" t="n">
        <x:v>45800</x:v>
      </x:c>
      <x:c r="C8" s="33" t="str">
        <x:v>HDFCR5202505236710</x:v>
      </x:c>
      <x:c r="D8" s="33" t="str">
        <x:v>VERTEX LABS / API MODULE</x:v>
      </x:c>
      <x:c r="E8" s="35" t="n">
        <x:v>4800000</x:v>
      </x:c>
      <x:c r="F8" s="35" t="n">
        <x:v>0</x:v>
      </x:c>
      <x:c r="G8" s="35" t="n">
        <x:f>G7+F8-E8</x:f>
        <x:v>31000000</x:v>
      </x:c>
      <x:c r="H8" s="33" t="str">
        <x:v>Vertex Labs LLP</x:v>
      </x:c>
    </x:row>
    <x:row r="9">
      <x:c r="A9" s="48" t="n">
        <x:v>45808</x:v>
      </x:c>
      <x:c r="B9" s="48" t="n">
        <x:v>45808</x:v>
      </x:c>
      <x:c r="C9" s="33" t="str">
        <x:v>NIMBUSIMP1</x:v>
      </x:c>
      <x:c r="D9" s="33" t="str">
        <x:v>NIMBUS IMPLEMENTATION RECEIPT</x:v>
      </x:c>
      <x:c r="E9" s="35" t="n">
        <x:v>0</x:v>
      </x:c>
      <x:c r="F9" s="35" t="n">
        <x:v>18900000</x:v>
      </x:c>
      <x:c r="G9" s="35" t="n">
        <x:f>G8+F9-E9</x:f>
        <x:v>49900000</x:v>
      </x:c>
      <x:c r="H9" s="33" t="str">
        <x:v>Nimbus Cooperative Bank</x:v>
      </x:c>
    </x:row>
    <x:row r="10">
      <x:c r="A10" s="48" t="n">
        <x:v>45828</x:v>
      </x:c>
      <x:c r="B10" s="48" t="n">
        <x:v>45828</x:v>
      </x:c>
      <x:c r="C10" s="33" t="str">
        <x:v>HDFCR5202506203304</x:v>
      </x:c>
      <x:c r="D10" s="33" t="str">
        <x:v>VERTEX LABS / DEVICES</x:v>
      </x:c>
      <x:c r="E10" s="35" t="n">
        <x:v>4900000</x:v>
      </x:c>
      <x:c r="F10" s="35" t="n">
        <x:v>0</x:v>
      </x:c>
      <x:c r="G10" s="35" t="n">
        <x:f>G9+F10-E10</x:f>
        <x:v>45000000</x:v>
      </x:c>
      <x:c r="H10" s="33" t="str">
        <x:v>Vertex Labs LLP</x:v>
      </x:c>
    </x:row>
    <x:row r="11">
      <x:c r="A11" s="48" t="n">
        <x:v>45838</x:v>
      </x:c>
      <x:c r="B11" s="48" t="n">
        <x:v>45838</x:v>
      </x:c>
      <x:c r="C11" s="33" t="str">
        <x:v>PAYROLLJUN</x:v>
      </x:c>
      <x:c r="D11" s="33" t="str">
        <x:v>SALARY AND STATUTORY</x:v>
      </x:c>
      <x:c r="E11" s="35" t="n">
        <x:v>13100000</x:v>
      </x:c>
      <x:c r="F11" s="35" t="n">
        <x:v>0</x:v>
      </x:c>
      <x:c r="G11" s="35" t="n">
        <x:f>G10+F11-E11</x:f>
        <x:v>31900000</x:v>
      </x:c>
      <x:c r="H11" s="33" t="str">
        <x:v>Payroll</x:v>
      </x:c>
    </x:row>
    <x:row r="12">
      <x:c r="A12" s="48" t="n">
        <x:v>45856</x:v>
      </x:c>
      <x:c r="B12" s="48" t="n">
        <x:v>45856</x:v>
      </x:c>
      <x:c r="C12" s="33" t="str">
        <x:v>HDFCR5202507189918</x:v>
      </x:c>
      <x:c r="D12" s="33" t="str">
        <x:v>VERTEX LABS / CONSULTING ADVANCE</x:v>
      </x:c>
      <x:c r="E12" s="35" t="n">
        <x:v>3200000</x:v>
      </x:c>
      <x:c r="F12" s="35" t="n">
        <x:v>0</x:v>
      </x:c>
      <x:c r="G12" s="35" t="n">
        <x:f>G11+F12-E12</x:f>
        <x:v>28700000</x:v>
      </x:c>
      <x:c r="H12" s="33" t="str">
        <x:v>Vertex Labs LLP</x:v>
      </x:c>
    </x:row>
    <x:row r="13">
      <x:c r="A13" s="48" t="n">
        <x:v>45860</x:v>
      </x:c>
      <x:c r="B13" s="48" t="n">
        <x:v>45860</x:v>
      </x:c>
      <x:c r="C13" s="33" t="str">
        <x:v>HDFCR5202507221033</x:v>
      </x:c>
      <x:c r="D13" s="33" t="str">
        <x:v>VERTEX LABS / CONSULTING ADVANCE</x:v>
      </x:c>
      <x:c r="E13" s="35" t="n">
        <x:v>3200000</x:v>
      </x:c>
      <x:c r="F13" s="35" t="n">
        <x:v>0</x:v>
      </x:c>
      <x:c r="G13" s="35" t="n">
        <x:f>G12+F13-E13</x:f>
        <x:v>25500000</x:v>
      </x:c>
      <x:c r="H13" s="33" t="str">
        <x:v>Vertex Labs LLP</x:v>
      </x:c>
    </x:row>
    <x:row r="14">
      <x:c r="A14" s="48" t="n">
        <x:v>45869</x:v>
      </x:c>
      <x:c r="B14" s="48" t="n">
        <x:v>45869</x:v>
      </x:c>
      <x:c r="C14" s="33" t="str">
        <x:v>NIMBUSSAAS</x:v>
      </x:c>
      <x:c r="D14" s="33" t="str">
        <x:v>NIMBUS QUARTERLY PLATFORM FEE</x:v>
      </x:c>
      <x:c r="E14" s="35" t="n">
        <x:v>0</x:v>
      </x:c>
      <x:c r="F14" s="35" t="n">
        <x:v>22600000</x:v>
      </x:c>
      <x:c r="G14" s="35" t="n">
        <x:f>G13+F14-E14</x:f>
        <x:v>48100000</x:v>
      </x:c>
      <x:c r="H14" s="33" t="str">
        <x:v>Nimbus Cooperative Bank</x:v>
      </x:c>
    </x:row>
    <x:row r="15">
      <x:c r="A15" s="48" t="n">
        <x:v>45871</x:v>
      </x:c>
      <x:c r="B15" s="48" t="n">
        <x:v>45871</x:v>
      </x:c>
      <x:c r="C15" s="33" t="str">
        <x:v>HDFCR5202508024427</x:v>
      </x:c>
      <x:c r="D15" s="33" t="str">
        <x:v>VERTEX LABS / CONSULTING ADVANCE</x:v>
      </x:c>
      <x:c r="E15" s="35" t="n">
        <x:v>3200000</x:v>
      </x:c>
      <x:c r="F15" s="35" t="n">
        <x:v>0</x:v>
      </x:c>
      <x:c r="G15" s="35" t="n">
        <x:f>G14+F15-E15</x:f>
        <x:v>44900000</x:v>
      </x:c>
      <x:c r="H15" s="33" t="str">
        <x:v>Vertex Labs LLP</x:v>
      </x:c>
    </x:row>
    <x:row r="16">
      <x:c r="A16" s="48" t="n">
        <x:v>45900</x:v>
      </x:c>
      <x:c r="B16" s="48" t="n">
        <x:v>45900</x:v>
      </x:c>
      <x:c r="C16" s="33" t="str">
        <x:v>PAYROLLAUG</x:v>
      </x:c>
      <x:c r="D16" s="33" t="str">
        <x:v>SALARY AND STATUTORY</x:v>
      </x:c>
      <x:c r="E16" s="35" t="n">
        <x:v>13200000</x:v>
      </x:c>
      <x:c r="F16" s="35" t="n">
        <x:v>0</x:v>
      </x:c>
      <x:c r="G16" s="35" t="n">
        <x:f>G15+F16-E16</x:f>
        <x:v>31700000</x:v>
      </x:c>
      <x:c r="H16" s="33" t="str">
        <x:v>Payroll</x:v>
      </x:c>
    </x:row>
    <x:row r="17">
      <x:c r="A17" s="48" t="n">
        <x:v>45909</x:v>
      </x:c>
      <x:c r="B17" s="48" t="n">
        <x:v>45909</x:v>
      </x:c>
      <x:c r="C17" s="33" t="str">
        <x:v>CLOUDSEP</x:v>
      </x:c>
      <x:c r="D17" s="33" t="str">
        <x:v>CLOUD AND INFRASTRUCTURE</x:v>
      </x:c>
      <x:c r="E17" s="35" t="n">
        <x:v>6100000</x:v>
      </x:c>
      <x:c r="F17" s="35" t="n">
        <x:v>0</x:v>
      </x:c>
      <x:c r="G17" s="35" t="n">
        <x:f>G16+F17-E17</x:f>
        <x:v>25600000</x:v>
      </x:c>
      <x:c r="H17" s="33" t="str">
        <x:v>Multiple vendors</x:v>
      </x:c>
    </x:row>
    <x:row r="18">
      <x:c r="A18" s="48" t="n">
        <x:v>45918</x:v>
      </x:c>
      <x:c r="B18" s="48" t="n">
        <x:v>45918</x:v>
      </x:c>
      <x:c r="C18" s="33" t="str">
        <x:v>UTR-VL-REFUND-0918</x:v>
      </x:c>
      <x:c r="D18" s="33" t="str">
        <x:v>UNUSED HARDWARE RESERVE REFUND</x:v>
      </x:c>
      <x:c r="E18" s="35" t="n">
        <x:v>0</x:v>
      </x:c>
      <x:c r="F18" s="35" t="n">
        <x:v>3200000</x:v>
      </x:c>
      <x:c r="G18" s="35" t="n">
        <x:f>G17+F18-E18</x:f>
        <x:v>28800000</x:v>
      </x:c>
      <x:c r="H18" s="33" t="str">
        <x:v>Vertex Labs LLP</x:v>
      </x:c>
    </x:row>
    <x:row r="19">
      <x:c r="A19" s="48" t="n">
        <x:v>45930</x:v>
      </x:c>
      <x:c r="B19" s="48" t="n">
        <x:v>45930</x:v>
      </x:c>
      <x:c r="C19" s="33" t="str">
        <x:v>PAYROLLSEP</x:v>
      </x:c>
      <x:c r="D19" s="33" t="str">
        <x:v>SALARY AND STATUTORY</x:v>
      </x:c>
      <x:c r="E19" s="35" t="n">
        <x:v>12700000</x:v>
      </x:c>
      <x:c r="F19" s="35" t="n">
        <x:v>0</x:v>
      </x:c>
      <x:c r="G19" s="35" t="n">
        <x:f>G18+F19-E19</x:f>
        <x:v>16100000</x:v>
      </x:c>
      <x:c r="H19" s="33" t="str">
        <x:v>Payroll</x:v>
      </x:c>
    </x:row>
    <x:row r="20">
      <x:c r="A20" s="48" t="n">
        <x:v>45933</x:v>
      </x:c>
      <x:c r="B20" s="48" t="n">
        <x:v>45933</x:v>
      </x:c>
      <x:c r="C20" s="33" t="str">
        <x:v>UTR-MERIDIAN-1003</x:v>
      </x:c>
      <x:c r="D20" s="33" t="str">
        <x:v>SHARE SUBSCRIPTION</x:v>
      </x:c>
      <x:c r="E20" s="35" t="n">
        <x:v>0</x:v>
      </x:c>
      <x:c r="F20" s="35" t="n">
        <x:v>72000000</x:v>
      </x:c>
      <x:c r="G20" s="35" t="n">
        <x:f>G19+F20-E20</x:f>
        <x:v>88100000</x:v>
      </x:c>
      <x:c r="H20" s="33" t="str">
        <x:v>Meridian Growth Fund I</x:v>
      </x:c>
    </x:row>
    <x:row r="21">
      <x:c r="A21" s="48" t="n">
        <x:v>45934</x:v>
      </x:c>
      <x:c r="B21" s="48" t="n">
        <x:v>45934</x:v>
      </x:c>
      <x:c r="C21" s="33" t="str">
        <x:v>UTR-RIVERSTONE-1004</x:v>
      </x:c>
      <x:c r="D21" s="33" t="str">
        <x:v>SHARE SUBSCRIPTION NET OF FEE</x:v>
      </x:c>
      <x:c r="E21" s="35" t="n">
        <x:v>0</x:v>
      </x:c>
      <x:c r="F21" s="35" t="n">
        <x:v>17100000</x:v>
      </x:c>
      <x:c r="G21" s="35" t="n">
        <x:f>G20+F21-E21</x:f>
        <x:v>105200000</x:v>
      </x:c>
      <x:c r="H21" s="33" t="str">
        <x:v>Riverstone SPV</x:v>
      </x:c>
    </x:row>
    <x:row r="22">
      <x:c r="A22" s="48" t="n">
        <x:v>45936</x:v>
      </x:c>
      <x:c r="B22" s="48" t="n">
        <x:v>45936</x:v>
      </x:c>
      <x:c r="C22" s="33" t="str">
        <x:v>LEGAL1006</x:v>
      </x:c>
      <x:c r="D22" s="33" t="str">
        <x:v>LEGAL AND FORENSIC RETAINER</x:v>
      </x:c>
      <x:c r="E22" s="35" t="n">
        <x:v>4500000</x:v>
      </x:c>
      <x:c r="F22" s="35" t="n">
        <x:v>0</x:v>
      </x:c>
      <x:c r="G22" s="35" t="n">
        <x:f>G21+F22-E22</x:f>
        <x:v>100700000</x:v>
      </x:c>
      <x:c r="H22" s="33" t="str">
        <x:v>GrayPeak / counsel</x:v>
      </x:c>
    </x:row>
    <x:row r="23">
      <x:c r="A23" s="48" t="n">
        <x:v>45940</x:v>
      </x:c>
      <x:c r="B23" s="48" t="n">
        <x:v>45940</x:v>
      </x:c>
      <x:c r="C23" s="33" t="str">
        <x:v>CLOSE</x:v>
      </x:c>
      <x:c r="D23" s="33" t="str">
        <x:v>Extract closing balance</x:v>
      </x:c>
      <x:c r="E23" s="35" t="n">
        <x:v>0</x:v>
      </x:c>
      <x:c r="F23" s="35" t="n">
        <x:v>0</x:v>
      </x:c>
      <x:c r="G23" s="35" t="n">
        <x:f>G22+F23-E23</x:f>
        <x:v>100700000</x:v>
      </x:c>
      <x:c r="H23" s="33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25" hidden="0" customWidth="1"/>
    <x:col min="4" max="4" width="24" hidden="0" customWidth="1"/>
    <x:col min="5" max="5" width="32" hidden="0" customWidth="1"/>
    <x:col min="6" max="6" width="15" hidden="0" customWidth="1"/>
    <x:col min="7" max="7" width="15" hidden="0" customWidth="1"/>
    <x:col min="8" max="8" width="28" hidden="0" customWidth="1"/>
    <x:col min="9" max="9" width="28" hidden="0" customWidth="1"/>
  </x:cols>
  <x:sheetData>
    <x:row r="1" ht="30" customHeight="1">
      <x:c r="A1" s="27" t="str">
        <x:v>Internal Ledger Extract</x:v>
      </x:c>
      <x:c r="B1" s="27"/>
      <x:c r="C1" s="27"/>
      <x:c r="D1" s="27"/>
      <x:c r="E1" s="27"/>
      <x:c r="F1" s="27"/>
      <x:c r="G1" s="27"/>
      <x:c r="H1" s="27"/>
      <x:c r="I1" s="27"/>
    </x:row>
    <x:row r="2">
      <x:c r="A2" s="32" t="str">
        <x:v>CFO export dated 9 October 2025 | Selected related-party and subscription entries</x:v>
      </x:c>
      <x:c r="B2" s="32"/>
      <x:c r="C2" s="32"/>
      <x:c r="D2" s="32"/>
      <x:c r="E2" s="32"/>
      <x:c r="F2" s="32"/>
      <x:c r="G2" s="32"/>
      <x:c r="H2" s="32"/>
      <x:c r="I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</x:row>
    <x:row r="4">
      <x:c r="A4" s="45" t="str">
        <x:v>Posting date</x:v>
      </x:c>
      <x:c r="B4" s="46" t="str">
        <x:v>Voucher</x:v>
      </x:c>
      <x:c r="C4" s="46" t="str">
        <x:v>Bank reference</x:v>
      </x:c>
      <x:c r="D4" s="46" t="str">
        <x:v>Account</x:v>
      </x:c>
      <x:c r="E4" s="46" t="str">
        <x:v>Description</x:v>
      </x:c>
      <x:c r="F4" s="46" t="str">
        <x:v>Debit</x:v>
      </x:c>
      <x:c r="G4" s="46" t="str">
        <x:v>Credit</x:v>
      </x:c>
      <x:c r="H4" s="46" t="str">
        <x:v>Approval / PO</x:v>
      </x:c>
      <x:c r="I4" s="47" t="str">
        <x:v>Document status</x:v>
      </x:c>
    </x:row>
    <x:row r="5">
      <x:c r="A5" s="48" t="n">
        <x:v>45761</x:v>
      </x:c>
      <x:c r="B5" s="33" t="str">
        <x:v>PV-0425-118</x:v>
      </x:c>
      <x:c r="C5" s="33" t="str">
        <x:v>HDFCR5202504142241</x:v>
      </x:c>
      <x:c r="D5" s="33" t="str">
        <x:v>Software development</x:v>
      </x:c>
      <x:c r="E5" s="33" t="str">
        <x:v>Vertex Labs sprint</x:v>
      </x:c>
      <x:c r="F5" s="35" t="n">
        <x:v>4800000</x:v>
      </x:c>
      <x:c r="G5" s="35" t="n">
        <x:v>0</x:v>
      </x:c>
      <x:c r="H5" s="33" t="str">
        <x:v>PO VL-0425-01 / CEO+CFO</x:v>
      </x:c>
      <x:c r="I5" s="33" t="str">
        <x:v>PO + invoice</x:v>
      </x:c>
    </x:row>
    <x:row r="6">
      <x:c r="A6" s="48" t="n">
        <x:v>45800</x:v>
      </x:c>
      <x:c r="B6" s="33" t="str">
        <x:v>PV-0525-204</x:v>
      </x:c>
      <x:c r="C6" s="33" t="str">
        <x:v>HDFCR5202505236710</x:v>
      </x:c>
      <x:c r="D6" s="33" t="str">
        <x:v>Software development</x:v>
      </x:c>
      <x:c r="E6" s="33" t="str">
        <x:v>Vertex Labs API module</x:v>
      </x:c>
      <x:c r="F6" s="35" t="n">
        <x:v>4800000</x:v>
      </x:c>
      <x:c r="G6" s="35" t="n">
        <x:v>0</x:v>
      </x:c>
      <x:c r="H6" s="33" t="str">
        <x:v>PO VL-0525-02 / CEO+CFO</x:v>
      </x:c>
      <x:c r="I6" s="33" t="str">
        <x:v>PO + invoice</x:v>
      </x:c>
    </x:row>
    <x:row r="7">
      <x:c r="A7" s="48" t="n">
        <x:v>45828</x:v>
      </x:c>
      <x:c r="B7" s="33" t="str">
        <x:v>PV-0625-287</x:v>
      </x:c>
      <x:c r="C7" s="33" t="str">
        <x:v>HDFCR5202506203304</x:v>
      </x:c>
      <x:c r="D7" s="33" t="str">
        <x:v>Hardware deposit</x:v>
      </x:c>
      <x:c r="E7" s="33" t="str">
        <x:v>Vertex Labs dedicated devices</x:v>
      </x:c>
      <x:c r="F7" s="35" t="n">
        <x:v>4900000</x:v>
      </x:c>
      <x:c r="G7" s="35" t="n">
        <x:v>0</x:v>
      </x:c>
      <x:c r="H7" s="33" t="str">
        <x:v>PO VL-0625-03 / CEO+CFO</x:v>
      </x:c>
      <x:c r="I7" s="33" t="str">
        <x:v>PO + pro forma</x:v>
      </x:c>
    </x:row>
    <x:row r="8">
      <x:c r="A8" s="48" t="n">
        <x:v>45856</x:v>
      </x:c>
      <x:c r="B8" s="33" t="str">
        <x:v>PV-0725-331A</x:v>
      </x:c>
      <x:c r="C8" s="33" t="str">
        <x:v>HDFCR5202507189818</x:v>
      </x:c>
      <x:c r="D8" s="33" t="str">
        <x:v>Cloud security deposit</x:v>
      </x:c>
      <x:c r="E8" s="33" t="str">
        <x:v>Vertex Labs reserve tranche 1</x:v>
      </x:c>
      <x:c r="F8" s="35" t="n">
        <x:v>3200000</x:v>
      </x:c>
      <x:c r="G8" s="35" t="n">
        <x:v>0</x:v>
      </x:c>
      <x:c r="H8" s="33" t="str">
        <x:v>Split under PO VL-0625-03</x:v>
      </x:c>
      <x:c r="I8" s="33" t="str">
        <x:v>Reference differs from bank</x:v>
      </x:c>
    </x:row>
    <x:row r="9">
      <x:c r="A9" s="48" t="n">
        <x:v>45860</x:v>
      </x:c>
      <x:c r="B9" s="33" t="str">
        <x:v>PV-0725-331B</x:v>
      </x:c>
      <x:c r="C9" s="33" t="str">
        <x:v>HDFCR5202507221033</x:v>
      </x:c>
      <x:c r="D9" s="33" t="str">
        <x:v>Cloud security deposit</x:v>
      </x:c>
      <x:c r="E9" s="33" t="str">
        <x:v>Vertex Labs reserve tranche 2</x:v>
      </x:c>
      <x:c r="F9" s="35" t="n">
        <x:v>3200000</x:v>
      </x:c>
      <x:c r="G9" s="35" t="n">
        <x:v>0</x:v>
      </x:c>
      <x:c r="H9" s="33" t="str">
        <x:v>Split under PO VL-0625-03</x:v>
      </x:c>
      <x:c r="I9" s="33" t="str">
        <x:v>Pro forma only</x:v>
      </x:c>
    </x:row>
    <x:row r="10">
      <x:c r="A10" s="48" t="n">
        <x:v>45871</x:v>
      </x:c>
      <x:c r="B10" s="33" t="str">
        <x:v>PV-0825-014</x:v>
      </x:c>
      <x:c r="C10" s="33" t="str">
        <x:v>HDFCR5202508024427</x:v>
      </x:c>
      <x:c r="D10" s="33" t="str">
        <x:v>Cloud security deposit</x:v>
      </x:c>
      <x:c r="E10" s="33" t="str">
        <x:v>Vertex Labs reserve tranche 3</x:v>
      </x:c>
      <x:c r="F10" s="35" t="n">
        <x:v>3200000</x:v>
      </x:c>
      <x:c r="G10" s="35" t="n">
        <x:v>0</x:v>
      </x:c>
      <x:c r="H10" s="33" t="str">
        <x:v>No new PO</x:v>
      </x:c>
      <x:c r="I10" s="33" t="str">
        <x:v>Pro forma only</x:v>
      </x:c>
    </x:row>
    <x:row r="11">
      <x:c r="A11" s="48" t="n">
        <x:v>45918</x:v>
      </x:c>
      <x:c r="B11" s="33" t="str">
        <x:v>RV-0925-077</x:v>
      </x:c>
      <x:c r="C11" s="33" t="str">
        <x:v>UTR-VL-REFUND-0918</x:v>
      </x:c>
      <x:c r="D11" s="33" t="str">
        <x:v>Vendor refund</x:v>
      </x:c>
      <x:c r="E11" s="33" t="str">
        <x:v>Unused hardware reserve</x:v>
      </x:c>
      <x:c r="F11" s="35" t="n">
        <x:v>0</x:v>
      </x:c>
      <x:c r="G11" s="35" t="n">
        <x:v>3200000</x:v>
      </x:c>
      <x:c r="H11" s="33" t="str">
        <x:v>CFO initiated</x:v>
      </x:c>
      <x:c r="I11" s="33" t="str">
        <x:v>Credit advice</x:v>
      </x:c>
    </x:row>
    <x:row r="12">
      <x:c r="A12" s="48" t="n">
        <x:v>45933</x:v>
      </x:c>
      <x:c r="B12" s="33" t="str">
        <x:v>JV-1025-001</x:v>
      </x:c>
      <x:c r="C12" s="33" t="str">
        <x:v>UTR-MERIDIAN-1003</x:v>
      </x:c>
      <x:c r="D12" s="33" t="str">
        <x:v>Share application money</x:v>
      </x:c>
      <x:c r="E12" s="33" t="str">
        <x:v>4,000,000 shares x INR 1.80</x:v>
      </x:c>
      <x:c r="F12" s="35" t="n">
        <x:v>0</x:v>
      </x:c>
      <x:c r="G12" s="35" t="n">
        <x:v>72000000</x:v>
      </x:c>
      <x:c r="H12" s="33" t="str">
        <x:v>Board 1 Oct</x:v>
      </x:c>
      <x:c r="I12" s="33" t="str">
        <x:v>Receipt after allotment</x:v>
      </x:c>
    </x:row>
    <x:row r="13">
      <x:c r="A13" s="48" t="n">
        <x:v>45934</x:v>
      </x:c>
      <x:c r="B13" s="33" t="str">
        <x:v>JV-1025-002</x:v>
      </x:c>
      <x:c r="C13" s="33" t="str">
        <x:v>UTR-RIVERSTONE-1004</x:v>
      </x:c>
      <x:c r="D13" s="33" t="str">
        <x:v>Share capital / premium</x:v>
      </x:c>
      <x:c r="E13" s="33" t="str">
        <x:v>1,000,000 shares x INR 1.80</x:v>
      </x:c>
      <x:c r="F13" s="35" t="n">
        <x:v>0</x:v>
      </x:c>
      <x:c r="G13" s="35" t="n">
        <x:v>18000000</x:v>
      </x:c>
      <x:c r="H13" s="33" t="str">
        <x:v>Board 1 Oct</x:v>
      </x:c>
      <x:c r="I13" s="33" t="str">
        <x:v>Ledger grosses up INR 0.9m fee set-off</x:v>
      </x:c>
    </x:row>
    <x:row r="14">
      <x:c r="A14" s="48" t="n">
        <x:v>45934</x:v>
      </x:c>
      <x:c r="B14" s="33" t="str">
        <x:v>JV-1025-003</x:v>
      </x:c>
      <x:c r="C14" s="33" t="str">
        <x:v>NO BANK REF</x:v>
      </x:c>
      <x:c r="D14" s="33" t="str">
        <x:v>Diligence expense payable</x:v>
      </x:c>
      <x:c r="E14" s="33" t="str">
        <x:v>Riverstone diligence fee set-off</x:v>
      </x:c>
      <x:c r="F14" s="35" t="n">
        <x:v>900000</x:v>
      </x:c>
      <x:c r="G14" s="35" t="n">
        <x:v>0</x:v>
      </x:c>
      <x:c r="H14" s="33" t="str">
        <x:v>Mandate letter not attached</x:v>
      </x:c>
      <x:c r="I14" s="33" t="str">
        <x:v>Non-cash journal</x:v>
      </x:c>
    </x:row>
  </x:sheetData>
  <x:mergeCells>
    <x:mergeCell ref="A1:I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19" hidden="0" customWidth="1"/>
    <x:col min="7" max="7" width="13" hidden="0" customWidth="1"/>
    <x:col min="8" max="8" width="39" hidden="0" customWidth="1"/>
  </x:cols>
  <x:sheetData>
    <x:row r="1" ht="30" customHeight="1">
      <x:c r="A1" s="27" t="str">
        <x:v>Payment Reconciliation</x:v>
      </x:c>
      <x:c r="B1" s="27"/>
      <x:c r="C1" s="27"/>
      <x:c r="D1" s="27"/>
      <x:c r="E1" s="27"/>
      <x:c r="F1" s="27"/>
      <x:c r="G1" s="27"/>
      <x:c r="H1" s="27"/>
    </x:row>
    <x:row r="2">
      <x:c r="A2" s="32" t="str">
        <x:v>Formula-driven comparison of bank, ledger and documentary support</x:v>
      </x:c>
      <x:c r="B2" s="32"/>
      <x:c r="C2" s="32"/>
      <x:c r="D2" s="32"/>
      <x:c r="E2" s="32"/>
      <x:c r="F2" s="32"/>
      <x:c r="G2" s="32"/>
      <x:c r="H2" s="32"/>
    </x:row>
    <x:row r="3">
      <x:c r="A3" s="33"/>
      <x:c r="B3" s="33"/>
      <x:c r="C3" s="33"/>
      <x:c r="D3" s="33"/>
      <x:c r="E3" s="33"/>
      <x:c r="F3" s="33"/>
      <x:c r="G3" s="33"/>
      <x:c r="H3" s="33"/>
    </x:row>
    <x:row r="4">
      <x:c r="A4" s="45" t="str">
        <x:v>Issue</x:v>
      </x:c>
      <x:c r="B4" s="46" t="str">
        <x:v>Bank amount</x:v>
      </x:c>
      <x:c r="C4" s="46" t="str">
        <x:v>Ledger amount</x:v>
      </x:c>
      <x:c r="D4" s="46" t="str">
        <x:v>Supported value / obligation</x:v>
      </x:c>
      <x:c r="E4" s="46" t="str">
        <x:v>Bank-ledger delta</x:v>
      </x:c>
      <x:c r="F4" s="46" t="str">
        <x:v>Residual / shortfall</x:v>
      </x:c>
      <x:c r="G4" s="46" t="str">
        <x:v>Status</x:v>
      </x:c>
      <x:c r="H4" s="47" t="str">
        <x:v>Evidence note</x:v>
      </x:c>
    </x:row>
    <x:row r="5">
      <x:c r="A5" s="33" t="str">
        <x:v>Vertex Labs gross payments</x:v>
      </x:c>
      <x:c r="B5" s="35" t="n">
        <x:v>24100000</x:v>
      </x:c>
      <x:c r="C5" s="35" t="n">
        <x:v>24100000</x:v>
      </x:c>
      <x:c r="D5" s="35" t="n">
        <x:v>19800000</x:v>
      </x:c>
      <x:c r="E5" s="35" t="n">
        <x:f>B5-C5</x:f>
        <x:v>0</x:v>
      </x:c>
      <x:c r="F5" s="35" t="n">
        <x:f>B5-D5</x:f>
        <x:v>4300000</x:v>
      </x:c>
      <x:c r="G5" s="33" t="str">
        <x:f>IF(ABS(F5)&lt;1,"MATCH","REVIEW")</x:f>
        <x:v>REVIEW</x:v>
      </x:c>
      <x:c r="H5" s="33" t="str">
        <x:v>Support before refund</x:v>
      </x:c>
    </x:row>
    <x:row r="6">
      <x:c r="A6" s="33" t="str">
        <x:v>Vertex Labs refund</x:v>
      </x:c>
      <x:c r="B6" s="35" t="n">
        <x:v>3200000</x:v>
      </x:c>
      <x:c r="C6" s="35" t="n">
        <x:v>3200000</x:v>
      </x:c>
      <x:c r="D6" s="35" t="n">
        <x:v>3200000</x:v>
      </x:c>
      <x:c r="E6" s="35" t="n">
        <x:f>B6-C6</x:f>
        <x:v>0</x:v>
      </x:c>
      <x:c r="F6" s="35" t="n">
        <x:f>B6-D6</x:f>
        <x:v>0</x:v>
      </x:c>
      <x:c r="G6" s="33" t="str">
        <x:f>IF(ABS(F6)&lt;1,"MATCH","REVIEW")</x:f>
        <x:v>MATCH</x:v>
      </x:c>
      <x:c r="H6" s="33" t="str">
        <x:v>18 Sep credit</x:v>
      </x:c>
    </x:row>
    <x:row r="7">
      <x:c r="A7" s="33" t="str">
        <x:v>Vertex Labs net unexplained</x:v>
      </x:c>
      <x:c r="B7" s="35" t="n">
        <x:f>B5-B6</x:f>
        <x:v>20900000</x:v>
      </x:c>
      <x:c r="C7" s="35" t="n">
        <x:f>C5-C6</x:f>
        <x:v>20900000</x:v>
      </x:c>
      <x:c r="D7" s="35" t="n">
        <x:f>D5</x:f>
        <x:v>19800000</x:v>
      </x:c>
      <x:c r="E7" s="35" t="n">
        <x:f>B7-C7</x:f>
        <x:v>0</x:v>
      </x:c>
      <x:c r="F7" s="35" t="n">
        <x:f>B7-D7</x:f>
        <x:v>1100000</x:v>
      </x:c>
      <x:c r="G7" s="33" t="str">
        <x:f>IF(ABS(F7)&lt;1,"MATCH","REVIEW")</x:f>
        <x:v>REVIEW</x:v>
      </x:c>
      <x:c r="H7" s="33" t="str">
        <x:v>Gross less support less refund</x:v>
      </x:c>
    </x:row>
    <x:row r="8">
      <x:c r="A8" s="33" t="str">
        <x:v>Meridian subscription</x:v>
      </x:c>
      <x:c r="B8" s="35" t="n">
        <x:v>72000000</x:v>
      </x:c>
      <x:c r="C8" s="35" t="n">
        <x:v>72000000</x:v>
      </x:c>
      <x:c r="D8" s="35" t="n">
        <x:v>72000000</x:v>
      </x:c>
      <x:c r="E8" s="35" t="n">
        <x:f>B8-C8</x:f>
        <x:v>0</x:v>
      </x:c>
      <x:c r="F8" s="35" t="n">
        <x:f>B8-D8</x:f>
        <x:v>0</x:v>
      </x:c>
      <x:c r="G8" s="33" t="str">
        <x:f>IF(ABS(F8)&lt;1,"MATCH","REVIEW")</x:f>
        <x:v>MATCH</x:v>
      </x:c>
      <x:c r="H8" s="33" t="str">
        <x:v>Fully received after allotment</x:v>
      </x:c>
    </x:row>
    <x:row r="9">
      <x:c r="A9" s="33" t="str">
        <x:v>Riverstone subscription</x:v>
      </x:c>
      <x:c r="B9" s="35" t="n">
        <x:v>17100000</x:v>
      </x:c>
      <x:c r="C9" s="35" t="n">
        <x:v>18000000</x:v>
      </x:c>
      <x:c r="D9" s="35" t="n">
        <x:v>18000000</x:v>
      </x:c>
      <x:c r="E9" s="35" t="n">
        <x:f>B9-C9</x:f>
        <x:v>-900000</x:v>
      </x:c>
      <x:c r="F9" s="35" t="n">
        <x:f>B9-D9</x:f>
        <x:v>-900000</x:v>
      </x:c>
      <x:c r="G9" s="33" t="str">
        <x:f>IF(ABS(F9)&lt;1,"MATCH","REVIEW")</x:f>
        <x:v>REVIEW</x:v>
      </x:c>
      <x:c r="H9" s="33" t="str">
        <x:v>INR 0.9m journal set-off unsupported by agreement</x:v>
      </x:c>
    </x:row>
    <x:row r="10">
      <x:c r="A10" s="33"/>
      <x:c r="B10" s="33"/>
      <x:c r="C10" s="33"/>
      <x:c r="D10" s="33"/>
      <x:c r="E10" s="33"/>
      <x:c r="F10" s="33"/>
      <x:c r="G10" s="33"/>
      <x:c r="H10" s="33"/>
    </x:row>
    <x:row r="11">
      <x:c r="A11" s="33"/>
      <x:c r="B11" s="33"/>
      <x:c r="C11" s="33"/>
      <x:c r="D11" s="33"/>
      <x:c r="E11" s="33"/>
      <x:c r="F11" s="33"/>
      <x:c r="G11" s="33"/>
      <x:c r="H11" s="33"/>
    </x:row>
    <x:row r="12">
      <x:c r="A12" s="51" t="str">
        <x:v>Interpretation: the INR 1.1m Vertex Labs residual is not proof of diversion; missing invoices, overpayment or recoverable deposit remain possible. The Riverstone INR 0.9m difference is a subscription-payment issue because the ledger grosses up a non-cash set-off without an executed agreement in the case file.</x:v>
      </x:c>
      <x:c r="B12" s="51"/>
      <x:c r="C12" s="51"/>
      <x:c r="D12" s="51"/>
      <x:c r="E12" s="51"/>
      <x:c r="F12" s="51"/>
      <x:c r="G12" s="51"/>
      <x:c r="H12" s="51"/>
    </x:row>
    <x:row r="13">
      <x:c r="A13" s="51"/>
      <x:c r="B13" s="51"/>
      <x:c r="C13" s="51"/>
      <x:c r="D13" s="51"/>
      <x:c r="E13" s="51"/>
      <x:c r="F13" s="51"/>
      <x:c r="G13" s="51"/>
      <x:c r="H13" s="51"/>
    </x:row>
    <x:row r="14">
      <x:c r="A14" s="51"/>
      <x:c r="B14" s="51"/>
      <x:c r="C14" s="51"/>
      <x:c r="D14" s="51"/>
      <x:c r="E14" s="51"/>
      <x:c r="F14" s="51"/>
      <x:c r="G14" s="51"/>
      <x:c r="H14" s="51"/>
    </x:row>
    <x:row r="15">
      <x:c r="A15" s="51"/>
      <x:c r="B15" s="51"/>
      <x:c r="C15" s="51"/>
      <x:c r="D15" s="51"/>
      <x:c r="E15" s="51"/>
      <x:c r="F15" s="51"/>
      <x:c r="G15" s="51"/>
      <x:c r="H15" s="51"/>
    </x:row>
  </x:sheetData>
  <x:mergeCells>
    <x:mergeCell ref="A1:H1"/>
    <x:mergeCell ref="A2:H2"/>
    <x:mergeCell ref="A12:H15"/>
  </x:mergeCells>
  <x:conditionalFormatting sqref="G5:G9">
    <x:cfRule type="containsText" dxfId="0" priority="1" operator="containsText" text="MATCH"/>
    <x:cfRule type="containsText" dxfId="1" priority="2" operator="containsText" text="REVIEW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7" hidden="0" customWidth="1"/>
    <x:col min="5" max="5" width="13" hidden="0" customWidth="1"/>
    <x:col min="6" max="6" width="52" hidden="0" customWidth="1"/>
  </x:cols>
  <x:sheetData>
    <x:row r="1" ht="30" customHeight="1">
      <x:c r="A1" s="27" t="str">
        <x:v>Bank Record Checks</x:v>
      </x:c>
      <x:c r="B1" s="27"/>
      <x:c r="C1" s="27"/>
      <x:c r="D1" s="27"/>
      <x:c r="E1" s="27"/>
      <x:c r="F1" s="27"/>
      <x:c r="G1" s="27"/>
      <x:c r="H1" s="27"/>
    </x:row>
    <x:row r="2">
      <x:c r="A2" s="32" t="str">
        <x:v>Formula integrity PASS; source/document conflicts remain REVIEW</x:v>
      </x:c>
      <x:c r="B2" s="32"/>
      <x:c r="C2" s="32"/>
      <x:c r="D2" s="32"/>
      <x:c r="E2" s="32"/>
      <x:c r="F2" s="32"/>
      <x:c r="G2" s="32"/>
      <x:c r="H2" s="32"/>
    </x:row>
    <x:row r="3">
      <x:c r="A3" s="33"/>
      <x:c r="B3" s="33"/>
      <x:c r="C3" s="33"/>
      <x:c r="D3" s="33"/>
      <x:c r="E3" s="33"/>
      <x:c r="F3" s="33"/>
      <x:c r="G3" s="33"/>
      <x:c r="H3" s="33"/>
    </x:row>
    <x:row r="4">
      <x:c r="A4" s="45" t="str">
        <x:v>Check</x:v>
      </x:c>
      <x:c r="B4" s="46" t="str">
        <x:v>Actual</x:v>
      </x:c>
      <x:c r="C4" s="46" t="str">
        <x:v>Expected</x:v>
      </x:c>
      <x:c r="D4" s="46" t="str">
        <x:v>Delta</x:v>
      </x:c>
      <x:c r="E4" s="46" t="str">
        <x:v>Status</x:v>
      </x:c>
      <x:c r="F4" s="47" t="str">
        <x:v>Interpretation</x:v>
      </x:c>
      <x:c r="G4" s="33"/>
      <x:c r="H4" s="33"/>
    </x:row>
    <x:row r="5">
      <x:c r="A5" s="33" t="str">
        <x:v>Vertex Labs payments total</x:v>
      </x:c>
      <x:c r="B5" s="35" t="n">
        <x:f>'Reconciliation'!B5</x:f>
        <x:v>24100000</x:v>
      </x:c>
      <x:c r="C5" s="35" t="n">
        <x:v>24100000</x:v>
      </x:c>
      <x:c r="D5" s="35" t="n">
        <x:f>B5-C5</x:f>
        <x:v>0</x:v>
      </x:c>
      <x:c r="E5" s="33" t="str">
        <x:f>IF(ABS(D5)&lt;1,"PASS","REVIEW")</x:f>
        <x:v>PASS</x:v>
      </x:c>
      <x:c r="F5" s="33" t="str">
        <x:v>Matches Board/CFO record</x:v>
      </x:c>
      <x:c r="G5" s="33"/>
      <x:c r="H5" s="33"/>
    </x:row>
    <x:row r="6">
      <x:c r="A6" s="33" t="str">
        <x:v>Vertex Labs refund</x:v>
      </x:c>
      <x:c r="B6" s="35" t="n">
        <x:f>'Reconciliation'!B6</x:f>
        <x:v>3200000</x:v>
      </x:c>
      <x:c r="C6" s="35" t="n">
        <x:v>3200000</x:v>
      </x:c>
      <x:c r="D6" s="35" t="n">
        <x:f>B6-C6</x:f>
        <x:v>0</x:v>
      </x:c>
      <x:c r="E6" s="33" t="str">
        <x:f>IF(ABS(D6)&lt;1,"PASS","REVIEW")</x:f>
        <x:v>PASS</x:v>
      </x:c>
      <x:c r="F6" s="33" t="str">
        <x:v>Matches internal report</x:v>
      </x:c>
      <x:c r="G6" s="33"/>
      <x:c r="H6" s="33"/>
    </x:row>
    <x:row r="7">
      <x:c r="A7" s="33" t="str">
        <x:v>Vertex Labs residual</x:v>
      </x:c>
      <x:c r="B7" s="35" t="n">
        <x:f>'Reconciliation'!F7</x:f>
        <x:v>1100000</x:v>
      </x:c>
      <x:c r="C7" s="35" t="n">
        <x:v>1100000</x:v>
      </x:c>
      <x:c r="D7" s="35" t="n">
        <x:f>B7-C7</x:f>
        <x:v>0</x:v>
      </x:c>
      <x:c r="E7" s="33" t="str">
        <x:f>IF(ABS(D7)&lt;1,"PASS","REVIEW")</x:f>
        <x:v>PASS</x:v>
      </x:c>
      <x:c r="F7" s="33" t="str">
        <x:v>Unexplained pending full support</x:v>
      </x:c>
      <x:c r="G7" s="33"/>
      <x:c r="H7" s="33"/>
    </x:row>
    <x:row r="8">
      <x:c r="A8" s="33" t="str">
        <x:v>Meridian receipt</x:v>
      </x:c>
      <x:c r="B8" s="35" t="n">
        <x:f>'Reconciliation'!B8</x:f>
        <x:v>72000000</x:v>
      </x:c>
      <x:c r="C8" s="35" t="n">
        <x:v>72000000</x:v>
      </x:c>
      <x:c r="D8" s="35" t="n">
        <x:f>B8-C8</x:f>
        <x:v>0</x:v>
      </x:c>
      <x:c r="E8" s="33" t="str">
        <x:f>IF(ABS(D8)&lt;1,"PASS","REVIEW")</x:f>
        <x:v>PASS</x:v>
      </x:c>
      <x:c r="F8" s="33" t="str">
        <x:v>Matches allotment amount</x:v>
      </x:c>
      <x:c r="G8" s="33"/>
      <x:c r="H8" s="33"/>
    </x:row>
    <x:row r="9">
      <x:c r="A9" s="33" t="str">
        <x:v>Riverstone receipt</x:v>
      </x:c>
      <x:c r="B9" s="35" t="n">
        <x:f>'Reconciliation'!B9</x:f>
        <x:v>17100000</x:v>
      </x:c>
      <x:c r="C9" s="35" t="n">
        <x:v>18000000</x:v>
      </x:c>
      <x:c r="D9" s="35" t="n">
        <x:f>B9-C9</x:f>
        <x:v>-900000</x:v>
      </x:c>
      <x:c r="E9" s="33" t="str">
        <x:f>IF(ABS(D9)&lt;1,"PASS","REVIEW")</x:f>
        <x:v>REVIEW</x:v>
      </x:c>
      <x:c r="F9" s="33" t="str">
        <x:v>INR 0.9m short</x:v>
      </x:c>
      <x:c r="G9" s="33"/>
      <x:c r="H9" s="33"/>
    </x:row>
    <x:row r="10">
      <x:c r="A10" s="33" t="str">
        <x:v>Running balance final</x:v>
      </x:c>
      <x:c r="B10" s="35" t="n">
        <x:f>'Bank Statement'!G23</x:f>
        <x:v>100700000</x:v>
      </x:c>
      <x:c r="C10" s="35"/>
      <x:c r="D10" s="35" t="n">
        <x:v>0</x:v>
      </x:c>
      <x:c r="E10" s="33" t="str">
        <x:v>INFO</x:v>
      </x:c>
      <x:c r="F10" s="33" t="str">
        <x:v>Extract omits many ordinary transactions; not tied to general ledger</x:v>
      </x:c>
      <x:c r="G10" s="33"/>
      <x:c r="H10" s="33"/>
    </x:row>
    <x:row r="11">
      <x:c r="A11" s="33" t="str">
        <x:v>Formula error scan</x:v>
      </x:c>
      <x:c r="B11" s="35" t="n">
        <x:v>0</x:v>
      </x:c>
      <x:c r="C11" s="35" t="n">
        <x:v>0</x:v>
      </x:c>
      <x:c r="D11" s="35" t="n">
        <x:v>0</x:v>
      </x:c>
      <x:c r="E11" s="33" t="str">
        <x:v>PASS</x:v>
      </x:c>
      <x:c r="F11" s="33" t="str">
        <x:v>No spreadsheet formula errors intended</x:v>
      </x:c>
      <x:c r="G11" s="33"/>
      <x:c r="H11" s="33"/>
    </x:row>
  </x:sheetData>
  <x:mergeCells>
    <x:mergeCell ref="A1:H1"/>
    <x:mergeCell ref="A2:H2"/>
  </x:mergeCells>
  <x:conditionalFormatting sqref="E5:E11">
    <x:cfRule type="containsText" dxfId="2" priority="1" operator="containsText" text="PASS"/>
    <x:cfRule type="containsText" dxfId="3" priority="2" operator="containsText" text="REVIEW"/>
  </x:conditionalFormatting>
  <x:pageMargins left="0.7" right="0.7" top="0.75" bottom="0.75" header="0.3" footer="0.3"/>
</x:worksheet>
</file>